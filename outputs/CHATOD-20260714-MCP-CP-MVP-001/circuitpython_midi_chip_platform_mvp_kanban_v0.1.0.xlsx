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d37379781640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aa43e3a31cb447c"/>
    <x:sheet xmlns:r="http://schemas.openxmlformats.org/officeDocument/2006/relationships" name="Backlog" sheetId="2" r:id="R282f26b245f2460f"/>
    <x:sheet xmlns:r="http://schemas.openxmlformats.org/officeDocument/2006/relationships" name="Epics" sheetId="3" r:id="R4b0b20c314694bd4"/>
    <x:sheet xmlns:r="http://schemas.openxmlformats.org/officeDocument/2006/relationships" name="Risks" sheetId="4" r:id="Re5ecf69b40aa4aed"/>
    <x:sheet xmlns:r="http://schemas.openxmlformats.org/officeDocument/2006/relationships" name="Team RACI" sheetId="5" r:id="Rb61a977f68784ce0"/>
    <x:sheet xmlns:r="http://schemas.openxmlformats.org/officeDocument/2006/relationships" name="Sources" sheetId="6" r:id="R49aca2328e7a4b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f8574a74374d42" /><Relationship Type="http://schemas.openxmlformats.org/officeDocument/2006/relationships/theme" Target="/xl/theme/theme1.xml" Id="R9d688fc9aa1849ce" /><Relationship Type="http://schemas.openxmlformats.org/officeDocument/2006/relationships/sharedStrings" Target="/xl/sharedStrings.xml" Id="Rff7d28f98616428c" /><Relationship Type="http://schemas.openxmlformats.org/officeDocument/2006/relationships/worksheet" Target="/xl/worksheets/sheet1.xml" Id="Reaa43e3a31cb447c" /><Relationship Type="http://schemas.openxmlformats.org/officeDocument/2006/relationships/worksheet" Target="/xl/worksheets/sheet2.xml" Id="R282f26b245f2460f" /><Relationship Type="http://schemas.openxmlformats.org/officeDocument/2006/relationships/worksheet" Target="/xl/worksheets/sheet3.xml" Id="R4b0b20c314694bd4" /><Relationship Type="http://schemas.openxmlformats.org/officeDocument/2006/relationships/worksheet" Target="/xl/worksheets/sheet4.xml" Id="Re5ecf69b40aa4aed" /><Relationship Type="http://schemas.openxmlformats.org/officeDocument/2006/relationships/worksheet" Target="/xl/worksheets/sheet5.xml" Id="Rb61a977f68784ce0" /><Relationship Type="http://schemas.openxmlformats.org/officeDocument/2006/relationships/worksheet" Target="/xl/worksheets/sheet6.xml" Id="R49aca2328e7a4b21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3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1db6e1c123a46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4ee5940d15e42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62296237c4c406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828e674c1a5410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2c12678cba8443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2 | scope v0.14.0 | runtime v0.11.0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COUNTA('Backlog'!$A$5:$A$67)</x:f>
        <x:v>63</x:v>
      </x:c>
      <x:c r="C5" s="85"/>
      <x:c r="D5" s="110" t="str">
        <x:v>1. Veilige minimale USB-MIDI boot en herstel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COUNTIF('Backlog'!$F$5:$F$67,"Done")</x:f>
        <x:v>7</x:v>
      </x:c>
      <x:c r="C6" s="85"/>
      <x:c r="D6" s="111" t="str">
        <x:v>2. MAX98357 mono-I2S eerste; PWM fallback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COUNTIF('Backlog'!$F$5:$F$67,"In Progress")</x:f>
        <x:v>0</x:v>
      </x:c>
      <x:c r="C7" s="85"/>
      <x:c r="D7" s="111" t="str">
        <x:v>3. D1-basiskern voor SN76489; SID en OPL daarna</x:v>
      </x:c>
      <x:c r="E7" s="111"/>
      <x:c r="F7" s="111"/>
      <x:c r="G7" s="111"/>
      <x:c r="H7" s="111"/>
    </x:row>
    <x:row r="8">
      <x:c r="A8" s="111" t="str">
        <x:v>MVP-gemerk</x:v>
      </x:c>
      <x:c r="B8" s="114" t="n">
        <x:f>COUNTIF('Backlog'!$E$5:$E$67,"Must")</x:f>
        <x:v>47</x:v>
      </x:c>
      <x:c r="C8" s="85"/>
      <x:c r="D8" s="112" t="str">
        <x:v>4. BLE op tweede bord; S2 faal veilig; multi-core na resource gate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COUNTA('Risks'!A5:A33)</x:f>
        <x:v>29</x:v>
      </x:c>
      <x:c r="C9" s="85"/>
      <x:c r="D9" s="116" t="str">
        <x:v>5. Station join met beveiligde AP-fallback; mobile UI en logging binne begroting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RACI'!$A$5:$A$16)</x:f>
        <x:v>12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Host accepted: 68 passed + bend/CC1 + S2-negatiewe BLE | Device connection PASS | volume/deploy/klank/BLE-HIL bly oop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Product Owner note 2026-07-15: hostbatch aanvaar. MCP-US-006 Done; fisiese USB, positiewe BLE en hoorbare klank bly aparte HIL-hekke.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63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Done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In Review</x:v>
      </x:c>
      <x:c r="G9" s="24" t="str">
        <x:v>Sprint 1</x:v>
      </x:c>
      <x:c r="H9" s="24" t="str">
        <x:v>In Review</x:v>
      </x:c>
      <x:c r="I9" s="65" t="n">
        <x:v>5</x:v>
      </x:c>
      <x:c r="J9" s="24" t="str">
        <x:v>US-003</x:v>
      </x:c>
      <x:c r="K9" s="24" t="str">
        <x:v>Publieke verstekke, private settings en override-prioriteit is host-groen; toestel-deploy wag op leesalleen-volume herstel</x:v>
      </x:c>
      <x:c r="L9" s="24" t="str">
        <x:v>CHATOD-20260714-MCP-CP-MVP-001 / MCP-US-005 / v0.5.0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Done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In Review</x:v>
      </x:c>
      <x:c r="G11" s="24" t="str">
        <x:v>Sprint 2</x:v>
      </x:c>
      <x:c r="H11" s="24" t="str">
        <x:v>Host accepted / HIL pending</x:v>
      </x:c>
      <x:c r="I11" s="65" t="n">
        <x:v>5</x:v>
      </x:c>
      <x:c r="J11" s="24" t="str">
        <x:v>US-003, US-006</x:v>
      </x:c>
      <x:c r="K11" s="24" t="str">
        <x:v>Host receive-loop aanvaar; fisiese USB-MIDI Note On/Off wag op gemonteerde volume en deploy</x:v>
      </x:c>
      <x:c r="L11" s="24" t="str">
        <x:v>CHATOD-20260714-MCP-CP-MVP-001 / MCP-US-007 / HOST-ACCEPTED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Done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Done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Host accepted / audible blocked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US-063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US-016, US-063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Runtime join 'n gekonfigureerde netwerk binne timeout en rapporteer station-IP; by mislukking begin 'n beveiligde AP en rapporteer AP-IP sonder MIDI-/klankblokkasie</x:v>
      </x:c>
      <x:c r="L27" s="24" t="str">
        <x:v>CHATOD-20260714-MCP-CP-MVP-001 / WIFI-RUNTIME-AMENDMENT-001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In Review/MVP</x:v>
      </x:c>
      <x:c r="I55" s="65" t="n">
        <x:v>5</x:v>
      </x:c>
      <x:c r="J55" s="24" t="str">
        <x:v>US-003, US-015</x:v>
      </x:c>
      <x:c r="K55" s="24" t="str">
        <x:v>Connection/deploy/boot/execution-runner is groen; USB-MIDI bewys; klankmeting wag op US-015/016</x:v>
      </x:c>
      <x:c r="L55" s="24" t="str">
        <x:v>CHATOD-20260714-MCP-CP-MVP-001 / MCP-US-051-IN-REVIEW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S2 negative accepted / BLE HIL blocked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</x:v>
      </x:c>
      <x:c r="I67" s="83" t="n">
        <x:v>8</x:v>
      </x:c>
      <x:c r="J67" s="83" t="str">
        <x:v>US-006, US-014, US-016</x:v>
      </x:c>
      <x:c r="K67" s="83" t="str">
        <x:v>Nuut-geporteerde sine/saw/square D1-gedrag speel via AudioOutput; geen desktop-backend of produksierepo-wysiging</x:v>
      </x:c>
      <x:c r="L67" s="83" t="str">
        <x:v>CHATOD-20260714-MCP-CP-MVP-001 / SCOPE-AMENDMENT-002 / MCP-US-063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db6e1c123a466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COUNTIF('Backlog'!$B$5:$B$67,A5)</x:f>
        <x:v>5</x:v>
      </x:c>
      <x:c r="D5" s="64" t="n">
        <x:f>COUNTIFS('Backlog'!$B$5:$B$67,A5,'Backlog'!$E$5:$E$67,"Must")</x:f>
        <x:v>4</x:v>
      </x:c>
      <x:c r="E5" s="64" t="n">
        <x:f>COUNTIFS('Backlog'!$B$5:$B$67,A5,'Backlog'!$F$5:$F$67,"Done")</x:f>
        <x:v>4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COUNTIF('Backlog'!$B$5:$B$67,A6)</x:f>
        <x:v>10</x:v>
      </x:c>
      <x:c r="D6" s="65" t="n">
        <x:f>COUNTIFS('Backlog'!$B$5:$B$67,A6,'Backlog'!$E$5:$E$67,"Must")</x:f>
        <x:v>10</x:v>
      </x:c>
      <x:c r="E6" s="65" t="n">
        <x:f>COUNTIFS('Backlog'!$B$5:$B$67,A6,'Backlog'!$F$5:$F$67,"Done")</x:f>
        <x:v>3</x:v>
      </x:c>
      <x:c r="F6" s="24" t="str">
        <x:v>USB, BLE en DIN/UART MIDI; guitar slides, kontroles en clock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COUNTIF('Backlog'!$B$5:$B$67,A7)</x:f>
        <x:v>9</x:v>
      </x:c>
      <x:c r="D7" s="65" t="n">
        <x:f>COUNTIFS('Backlog'!$B$5:$B$67,A7,'Backlog'!$E$5:$E$67,"Must")</x:f>
        <x:v>9</x:v>
      </x:c>
      <x:c r="E7" s="65" t="n">
        <x:f>COUNTIFS('Backlog'!$B$5:$B$67,A7,'Backlog'!$F$5:$F$67,"Done")</x:f>
        <x:v>0</x:v>
      </x:c>
      <x:c r="F7" s="24" t="str">
        <x:v>MAX98357 mono eerste; D1-basiskern,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COUNTIF('Backlog'!$B$5:$B$67,A8)</x:f>
        <x:v>6</x:v>
      </x:c>
      <x:c r="D8" s="65" t="n">
        <x:f>COUNTIFS('Backlog'!$B$5:$B$67,A8,'Backlog'!$E$5:$E$67,"Must")</x:f>
        <x:v>6</x:v>
      </x:c>
      <x:c r="E8" s="65" t="n">
        <x:f>COUNTIFS('Backlog'!$B$5:$B$67,A8,'Backlog'!$F$5:$F$67,"Done")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COUNTIF('Backlog'!$B$5:$B$67,A9)</x:f>
        <x:v>6</x:v>
      </x:c>
      <x:c r="D9" s="65" t="n">
        <x:f>COUNTIFS('Backlog'!$B$5:$B$67,A9,'Backlog'!$E$5:$E$67,"Must")</x:f>
        <x:v>1</x:v>
      </x:c>
      <x:c r="E9" s="65" t="n">
        <x:f>COUNTIFS('Backlog'!$B$5:$B$67,A9,'Backlog'!$F$5:$F$67,"Done")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COUNTIF('Backlog'!$B$5:$B$67,A10)</x:f>
        <x:v>10</x:v>
      </x:c>
      <x:c r="D10" s="65" t="n">
        <x:f>COUNTIFS('Backlog'!$B$5:$B$67,A10,'Backlog'!$E$5:$E$67,"Must")</x:f>
        <x:v>5</x:v>
      </x:c>
      <x:c r="E10" s="65" t="n">
        <x:f>COUNTIFS('Backlog'!$B$5:$B$67,A10,'Backlog'!$F$5:$F$67,"Done")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COUNTIF('Backlog'!$B$5:$B$67,A11)</x:f>
        <x:v>7</x:v>
      </x:c>
      <x:c r="D11" s="65" t="n">
        <x:f>COUNTIFS('Backlog'!$B$5:$B$67,A11,'Backlog'!$E$5:$E$67,"Must")</x:f>
        <x:v>3</x:v>
      </x:c>
      <x:c r="E11" s="65" t="n">
        <x:f>COUNTIFS('Backlog'!$B$5:$B$67,A11,'Backlog'!$F$5:$F$67,"Done")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COUNTIF('Backlog'!$B$5:$B$67,A12)</x:f>
        <x:v>10</x:v>
      </x:c>
      <x:c r="D12" s="66" t="n">
        <x:f>COUNTIFS('Backlog'!$B$5:$B$67,A12,'Backlog'!$E$5:$E$67,"Must")</x:f>
        <x:v>9</x:v>
      </x:c>
      <x:c r="E12" s="66" t="n">
        <x:f>COUNTIFS('Backlog'!$B$5:$B$67,A12,'Backlog'!$F$5:$F$67,"Done")</x:f>
        <x:v>0</x:v>
      </x:c>
      <x:c r="F12" s="25" t="str">
        <x:v>Host/HIL, BLE-tweedebord,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84ee5940d15e420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29 geregistreerde risiko's; US-005 deploy is veilig gestop by 'n leesalleen CIRCUITPY-volume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BLE-MIDI is Must, maar die primere ESP32-S2 het geen native BLE nie</x:v>
      </x:c>
      <x:c r="C27" s="83" t="str">
        <x:v>High</x:v>
      </x:c>
      <x:c r="D27" s="83" t="str">
        <x:v>High</x:v>
      </x:c>
      <x:c r="E27" s="83" t="str">
        <x:v>Architect/Embedded</x:v>
      </x:c>
      <x:c r="F27" s="83" t="str">
        <x:v>Capability gate; tweede BLE-bordprofiel in US-052 en positiewe HIL in US-062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Open - US-005 HIL gate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2296237c4c406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Copilot adviseer as eksterne reviewer;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  <x:row r="16" ht="38" customHeight="1">
      <x:c r="A16" t="str">
        <x:v>External Architecture Reviewer (Copilot)</x:v>
      </x:c>
      <x:c r="B16" t="str">
        <x:v>Onafhanklike ontwerp- en risiko-review</x:v>
      </x:c>
      <x:c r="C16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8828e674c1a5410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USB-identiteit en runtime-inspeksie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92c12678cba8443a"/>
  </x:tableParts>
</x:worksheet>
</file>