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b64285d5d144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c9bd9a0a564457f"/>
    <x:sheet xmlns:r="http://schemas.openxmlformats.org/officeDocument/2006/relationships" name="Backlog" sheetId="2" r:id="Rb10292f5dbf047d7"/>
    <x:sheet xmlns:r="http://schemas.openxmlformats.org/officeDocument/2006/relationships" name="Epics" sheetId="3" r:id="Rd6d22c8563f146ea"/>
    <x:sheet xmlns:r="http://schemas.openxmlformats.org/officeDocument/2006/relationships" name="Risks" sheetId="4" r:id="R21affbb057004ce8"/>
    <x:sheet xmlns:r="http://schemas.openxmlformats.org/officeDocument/2006/relationships" name="Team RACI" sheetId="5" r:id="R6880bb6d41534f4d"/>
    <x:sheet xmlns:r="http://schemas.openxmlformats.org/officeDocument/2006/relationships" name="Sources" sheetId="6" r:id="Rb401ff9078fa42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  <x:font>
      <x:b/>
      <x:sz val="11"/>
      <x:color rgb="FF243746"/>
      <x:name val="Aptos"/>
    </x:font>
    <x:font>
      <x:sz val="11"/>
      <x:color rgb="FF243746"/>
      <x:name val="Aptos"/>
    </x:font>
    <x:font>
      <x:i/>
      <x:sz val="11"/>
      <x:color rgb="FF243746"/>
      <x:name val="Aptos"/>
    </x:font>
    <x:font>
      <x:sz val="20"/>
      <x:color rgb="FFFFFFFF"/>
      <x:name val="Aptos"/>
    </x:font>
    <x:font>
      <x:b/>
      <x:sz val="11"/>
      <x:color rgb="FFFFFFFF"/>
      <x:name val="Aptos"/>
    </x:font>
    <x:font>
      <x:sz val="10"/>
      <x:color rgb="FF58728A"/>
      <x:name val="Aptos"/>
    </x:font>
  </x:fonts>
  <x:fills count="18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  <x:fill>
      <x:patternFill patternType="solid">
        <x:fgColor rgb="FF12324A"/>
      </x:patternFill>
    </x:fill>
    <x:fill>
      <x:patternFill patternType="solid">
        <x:fgColor rgb="FFEAF4F7"/>
      </x:patternFill>
    </x:fill>
    <x:fill>
      <x:patternFill patternType="solid">
        <x:fgColor rgb="FF1B7288"/>
      </x:patternFill>
    </x:fill>
    <x:fill>
      <x:patternFill patternType="solid">
        <x:fgColor rgb="FFFFFFFF"/>
      </x:patternFill>
    </x:fill>
    <x:fill>
      <x:patternFill patternType="solid">
        <x:fgColor rgb="FFE6F1F4"/>
      </x:patternFill>
    </x:fill>
    <x:fill>
      <x:patternFill patternType="solid">
        <x:fgColor rgb="FFF26B5E"/>
      </x:patternFill>
    </x:fill>
    <x:fill>
      <x:patternFill patternType="solid">
        <x:fgColor rgb="FFF4F8FA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3" borderId="0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2" xfId="0" applyNumberFormat="1" applyFont="1" applyFill="1" applyBorder="1" applyAlignment="1">
      <x:alignment vertical="center" wrapText="1"/>
    </x:xf>
    <x:xf numFmtId="0" fontId="18" fillId="4" borderId="6" xfId="0" applyNumberFormat="1" applyFont="1" applyFill="1" applyBorder="1" applyAlignment="1">
      <x:alignment vertical="center" wrapText="1"/>
    </x:xf>
    <x:xf numFmtId="0" fontId="19" fillId="0" borderId="3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vertical="top" wrapText="1"/>
    </x:xf>
    <x:xf numFmtId="0" fontId="18" fillId="3" borderId="4" xfId="0" applyNumberFormat="1" applyFont="1" applyFill="1" applyBorder="1" applyAlignment="1">
      <x:alignment horizontal="center" vertical="center" wrapText="1"/>
    </x:xf>
    <x:xf numFmtId="0" fontId="19" fillId="0" borderId="5" xfId="0" applyNumberFormat="1" applyFont="1" applyFill="1" applyBorder="1" applyAlignment="1">
      <x:alignment vertical="top" wrapText="1"/>
    </x:xf>
    <x:xf numFmtId="0" fontId="18" fillId="3" borderId="5" xfId="0" applyNumberFormat="1" applyFont="1" applyFill="1" applyBorder="1" applyAlignment="1">
      <x:alignment horizontal="center" vertical="center" wrapText="1"/>
    </x:xf>
    <x:xf numFmtId="0" fontId="18" fillId="5" borderId="0" xfId="0" applyNumberFormat="1" applyFont="1" applyFill="1" applyBorder="1" applyAlignment="1">
      <x:alignment horizontal="center" vertical="center"/>
    </x:xf>
    <x:xf numFmtId="0" fontId="19" fillId="6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/>
    <x:xf numFmtId="0" fontId="21" fillId="11" borderId="0" xfId="0" applyNumberFormat="1" applyFont="1" applyFill="1" applyBorder="1" applyAlignment="1">
      <x:alignment vertical="center"/>
    </x:xf>
    <x:xf numFmtId="0" fontId="21" fillId="11" borderId="0" xfId="0" applyNumberFormat="1" applyFont="1" applyFill="1" applyBorder="1"/>
    <x:xf numFmtId="0" fontId="20" fillId="12" borderId="0" xfId="0" applyNumberFormat="1" applyFont="1" applyFill="1" applyBorder="1" applyAlignment="1">
      <x:alignment vertical="center" wrapText="1"/>
    </x:xf>
    <x:xf numFmtId="0" fontId="19" fillId="12" borderId="0" xfId="0" applyNumberFormat="1" applyFont="1" applyFill="1" applyBorder="1"/>
    <x:xf numFmtId="0" fontId="18" fillId="13" borderId="1" xfId="0" applyNumberFormat="1" applyFont="1" applyFill="1" applyBorder="1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22" fillId="13" borderId="1" xfId="0" applyNumberFormat="1" applyFont="1" applyFill="1" applyBorder="1" applyAlignment="1">
      <x:alignment vertical="center" wrapText="1"/>
    </x:xf>
    <x:xf numFmtId="0" fontId="22" fillId="13" borderId="2" xfId="0" applyNumberFormat="1" applyFont="1" applyFill="1" applyBorder="1" applyAlignment="1">
      <x:alignment vertical="center" wrapText="1"/>
    </x:xf>
    <x:xf numFmtId="0" fontId="18" fillId="13" borderId="6" xfId="0" applyNumberFormat="1" applyFont="1" applyFill="1" applyBorder="1" applyAlignment="1">
      <x:alignment vertical="center" wrapText="1"/>
    </x:xf>
    <x:xf numFmtId="0" fontId="22" fillId="13" borderId="6" xfId="0" applyNumberFormat="1" applyFont="1" applyFill="1" applyBorder="1" applyAlignment="1">
      <x:alignment vertical="center" wrapText="1"/>
    </x:xf>
    <x:xf numFmtId="0" fontId="19" fillId="14" borderId="3" xfId="0" applyNumberFormat="1" applyFont="1" applyFill="1" applyBorder="1" applyAlignment="1">
      <x:alignment vertical="top" wrapText="1"/>
    </x:xf>
    <x:xf numFmtId="0" fontId="19" fillId="14" borderId="4" xfId="0" applyNumberFormat="1" applyFont="1" applyFill="1" applyBorder="1" applyAlignment="1">
      <x:alignment vertical="top" wrapText="1"/>
    </x:xf>
    <x:xf numFmtId="0" fontId="19" fillId="14" borderId="5" xfId="0" applyNumberFormat="1" applyFont="1" applyFill="1" applyBorder="1" applyAlignment="1">
      <x:alignment vertical="top" wrapText="1"/>
    </x:xf>
    <x:xf numFmtId="0" fontId="18" fillId="15" borderId="3" xfId="0" applyNumberFormat="1" applyFont="1" applyFill="1" applyBorder="1" applyAlignment="1">
      <x:alignment horizontal="center" vertical="center" wrapText="1"/>
    </x:xf>
    <x:xf numFmtId="0" fontId="18" fillId="15" borderId="4" xfId="0" applyNumberFormat="1" applyFont="1" applyFill="1" applyBorder="1" applyAlignment="1">
      <x:alignment horizontal="center" vertical="center" wrapText="1"/>
    </x:xf>
    <x:xf numFmtId="0" fontId="18" fillId="15" borderId="5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/>
    <x:xf numFmtId="0" fontId="22" fillId="16" borderId="0" xfId="0" applyNumberFormat="1" applyFont="1" applyFill="1" applyBorder="1" applyAlignment="1">
      <x:alignment horizontal="center" vertical="center"/>
    </x:xf>
    <x:xf numFmtId="0" fontId="22" fillId="16" borderId="0" xfId="0" applyNumberFormat="1" applyFont="1" applyFill="1" applyBorder="1"/>
    <x:xf numFmtId="0" fontId="19" fillId="17" borderId="7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/>
    <x:xf numFmtId="0" fontId="23" fillId="17" borderId="7" xfId="0" applyNumberFormat="1" applyFont="1" applyFill="1" applyBorder="1" applyAlignment="1">
      <x:alignment vertical="center" wrapText="1"/>
    </x:xf>
    <x:xf numFmtId="0" fontId="23" fillId="17" borderId="0" xfId="0" applyNumberFormat="1" applyFont="1" applyFill="1" applyBorder="1"/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45c64846cf4981" /><Relationship Type="http://schemas.openxmlformats.org/officeDocument/2006/relationships/theme" Target="/xl/theme/theme1.xml" Id="Rab261f4e07f94002" /><Relationship Type="http://schemas.openxmlformats.org/officeDocument/2006/relationships/sharedStrings" Target="/xl/sharedStrings.xml" Id="R870c06653e084e42" /><Relationship Type="http://schemas.openxmlformats.org/officeDocument/2006/relationships/worksheet" Target="/xl/worksheets/sheet1.xml" Id="Rcc9bd9a0a564457f" /><Relationship Type="http://schemas.openxmlformats.org/officeDocument/2006/relationships/worksheet" Target="/xl/worksheets/sheet2.xml" Id="Rb10292f5dbf047d7" /><Relationship Type="http://schemas.openxmlformats.org/officeDocument/2006/relationships/worksheet" Target="/xl/worksheets/sheet3.xml" Id="Rd6d22c8563f146ea" /><Relationship Type="http://schemas.openxmlformats.org/officeDocument/2006/relationships/worksheet" Target="/xl/worksheets/sheet4.xml" Id="R21affbb057004ce8" /><Relationship Type="http://schemas.openxmlformats.org/officeDocument/2006/relationships/worksheet" Target="/xl/worksheets/sheet5.xml" Id="R6880bb6d41534f4d" /><Relationship Type="http://schemas.openxmlformats.org/officeDocument/2006/relationships/worksheet" Target="/xl/worksheets/sheet6.xml" Id="Rb401ff9078fa42d8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4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9907143572430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468f8966db645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d7cfb43d3d4433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feade596b594f1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f8af9ccb27d458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100" t="str">
        <x:v>MIDI Chip Platform - MVP Kanban</x:v>
      </x:c>
      <x:c r="B1" s="101"/>
      <x:c r="C1" s="101"/>
      <x:c r="D1" s="101"/>
      <x:c r="E1" s="101"/>
      <x:c r="F1" s="101"/>
      <x:c r="G1" s="101"/>
      <x:c r="H1" s="101"/>
    </x:row>
    <x:row r="2" ht="28" customHeight="1">
      <x:c r="A2" s="102" t="str">
        <x:v>Sprint 2 | scope v0.15.0 | runtime v0.11.1 | CHATOD-20260714-MCP-CP-MVP-001</x:v>
      </x:c>
      <x:c r="B2" s="103"/>
      <x:c r="C2" s="103"/>
      <x:c r="D2" s="103"/>
      <x:c r="E2" s="103"/>
      <x:c r="F2" s="103"/>
      <x:c r="G2" s="103"/>
      <x:c r="H2" s="103"/>
    </x:row>
    <x:row r="3">
      <x:c r="A3" s="85"/>
      <x:c r="B3" s="85"/>
      <x:c r="C3" s="85"/>
      <x:c r="D3" s="85"/>
      <x:c r="E3" s="85"/>
      <x:c r="F3" s="85"/>
      <x:c r="G3" s="85"/>
      <x:c r="H3" s="85"/>
    </x:row>
    <x:row r="4" ht="28" customHeight="1">
      <x:c r="A4" s="106" t="str">
        <x:v>Metriek</x:v>
      </x:c>
      <x:c r="B4" s="107" t="str">
        <x:v>Waarde</x:v>
      </x:c>
      <x:c r="C4" s="85"/>
      <x:c r="D4" s="106" t="str">
        <x:v>MVP-besluithekke</x:v>
      </x:c>
      <x:c r="E4" s="109"/>
      <x:c r="F4" s="109"/>
      <x:c r="G4" s="109"/>
      <x:c r="H4" s="107"/>
    </x:row>
    <x:row r="5">
      <x:c r="A5" s="110" t="str">
        <x:v>Totale stories</x:v>
      </x:c>
      <x:c r="B5" s="113" t="n">
        <x:f>COUNTA('Backlog'!$A$5:$A$67)</x:f>
        <x:v>63</x:v>
      </x:c>
      <x:c r="C5" s="85"/>
      <x:c r="D5" s="110" t="str">
        <x:v>1. Veilige minimale USB-MIDI boot en herstel</x:v>
      </x:c>
      <x:c r="E5" s="110"/>
      <x:c r="F5" s="110"/>
      <x:c r="G5" s="110"/>
      <x:c r="H5" s="110"/>
    </x:row>
    <x:row r="6">
      <x:c r="A6" s="111" t="str">
        <x:v>Done</x:v>
      </x:c>
      <x:c r="B6" s="114" t="n">
        <x:f>COUNTIF('Backlog'!$F$5:$F$67,"Done")</x:f>
        <x:v>7</x:v>
      </x:c>
      <x:c r="C6" s="85"/>
      <x:c r="D6" s="111" t="str">
        <x:v>2. MAX98357 mono-I2S eerste; PWM fallback</x:v>
      </x:c>
      <x:c r="E6" s="111"/>
      <x:c r="F6" s="111"/>
      <x:c r="G6" s="111"/>
      <x:c r="H6" s="111"/>
    </x:row>
    <x:row r="7">
      <x:c r="A7" s="111" t="str">
        <x:v>In Progress</x:v>
      </x:c>
      <x:c r="B7" s="114" t="n">
        <x:f>COUNTIF('Backlog'!$F$5:$F$67,"In Progress")</x:f>
        <x:v>0</x:v>
      </x:c>
      <x:c r="C7" s="85"/>
      <x:c r="D7" s="111" t="str">
        <x:v>3. D1-basiskern voor SN76489; SID en OPL daarna</x:v>
      </x:c>
      <x:c r="E7" s="111"/>
      <x:c r="F7" s="111"/>
      <x:c r="G7" s="111"/>
      <x:c r="H7" s="111"/>
    </x:row>
    <x:row r="8">
      <x:c r="A8" s="111" t="str">
        <x:v>MVP-gemerk</x:v>
      </x:c>
      <x:c r="B8" s="114" t="n">
        <x:f>COUNTIF('Backlog'!$E$5:$E$67,"Must")</x:f>
        <x:v>47</x:v>
      </x:c>
      <x:c r="C8" s="85"/>
      <x:c r="D8" s="112" t="str">
        <x:v>4. BLE op tweede bord; S2 faal veilig; multi-core na resource gate</x:v>
      </x:c>
      <x:c r="E8" s="112"/>
      <x:c r="F8" s="112"/>
      <x:c r="G8" s="112"/>
      <x:c r="H8" s="112"/>
    </x:row>
    <x:row r="9">
      <x:c r="A9" s="111" t="str">
        <x:v>Oop risiko’s</x:v>
      </x:c>
      <x:c r="B9" s="114" t="n">
        <x:f>COUNTA('Risks'!A5:A33)</x:f>
        <x:v>29</x:v>
      </x:c>
      <x:c r="C9" s="85"/>
      <x:c r="D9" s="116" t="str">
        <x:v>5. Station join met beveiligde AP-fallback; mobile UI en logging binne begroting</x:v>
      </x:c>
      <x:c r="E9" s="116"/>
      <x:c r="F9" s="116"/>
      <x:c r="G9" s="116"/>
      <x:c r="H9" s="116"/>
    </x:row>
    <x:row r="10">
      <x:c r="A10" s="112" t="str">
        <x:v>Virtuele rolle</x:v>
      </x:c>
      <x:c r="B10" s="115" t="n">
        <x:f>COUNTA('Team RACI'!$A$5:$A$16)</x:f>
        <x:v>12</x:v>
      </x:c>
      <x:c r="C10" s="85"/>
      <x:c r="D10" s="116"/>
      <x:c r="E10" s="116"/>
      <x:c r="F10" s="116"/>
      <x:c r="G10" s="116"/>
      <x:c r="H10" s="116"/>
    </x:row>
    <x:row r="11">
      <x:c r="A11" s="85"/>
      <x:c r="B11" s="85"/>
      <x:c r="C11" s="85"/>
      <x:c r="D11" s="85"/>
      <x:c r="E11" s="85"/>
      <x:c r="F11" s="85"/>
      <x:c r="G11" s="85"/>
      <x:c r="H11" s="85"/>
    </x:row>
    <x:row r="12">
      <x:c r="A12" s="85"/>
      <x:c r="B12" s="85"/>
      <x:c r="C12" s="85"/>
      <x:c r="D12" s="85"/>
      <x:c r="E12" s="85"/>
      <x:c r="F12" s="85"/>
      <x:c r="G12" s="85"/>
      <x:c r="H12" s="85"/>
    </x:row>
    <x:row r="13" ht="30" customHeight="1">
      <x:c r="A13" s="119" t="str">
        <x:v>82 tests GREEN | Wemos HIL: closure, 16 hashes, libraries, boot en imports PASS | USB-note/klank/BLE bly oop</x:v>
      </x:c>
      <x:c r="B13" s="120"/>
      <x:c r="C13" s="120"/>
      <x:c r="D13" s="120"/>
      <x:c r="E13" s="120"/>
      <x:c r="F13" s="120"/>
      <x:c r="G13" s="120"/>
      <x:c r="H13" s="120"/>
    </x:row>
    <x:row r="14">
      <x:c r="A14" s="85"/>
      <x:c r="B14" s="85"/>
      <x:c r="C14" s="85"/>
      <x:c r="D14" s="85"/>
      <x:c r="E14" s="85"/>
      <x:c r="F14" s="85"/>
      <x:c r="G14" s="85"/>
      <x:c r="H14" s="85"/>
    </x:row>
    <x:row r="15" ht="58" customHeight="1">
      <x:c r="A15" s="123" t="str">
        <x:v>Product Owner note 2026-07-15: QA-herstel goedgekeur. Dependency-closed device proof PASS; US-007 Note On/Off bly oop.</x:v>
      </x:c>
      <x:c r="B15" s="124"/>
      <x:c r="C15" s="124"/>
      <x:c r="D15" s="124"/>
      <x:c r="E15" s="124"/>
      <x:c r="F15" s="124"/>
      <x:c r="G15" s="124"/>
      <x:c r="H15" s="124"/>
    </x:row>
    <x:row r="16">
      <x:c r="A16" s="124"/>
      <x:c r="B16" s="124"/>
      <x:c r="C16" s="124"/>
      <x:c r="D16" s="124"/>
      <x:c r="E16" s="124"/>
      <x:c r="F16" s="124"/>
      <x:c r="G16" s="124"/>
      <x:c r="H16" s="124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| 63 stories | Redigeer Status en Priority via keuselyste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Done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Done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Done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Done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In Review</x:v>
      </x:c>
      <x:c r="G9" s="24" t="str">
        <x:v>Sprint 1</x:v>
      </x:c>
      <x:c r="H9" s="24" t="str">
        <x:v>In Review</x:v>
      </x:c>
      <x:c r="I9" s="65" t="n">
        <x:v>5</x:v>
      </x:c>
      <x:c r="J9" s="24" t="str">
        <x:v>US-003</x:v>
      </x:c>
      <x:c r="K9" s="24" t="str">
        <x:v>Hostlektoetse is groen en die konfigurasielaag laai fisies; menslike private SET/UNSET-aanvaarding bly oop</x:v>
      </x:c>
      <x:c r="L9" s="24" t="str">
        <x:v>CHATOD-20260714-MCP-CP-MVP-001 / MCP-US-051-IMP-001 / v0.11.1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Done</x:v>
      </x:c>
      <x:c r="G10" s="24" t="str">
        <x:v>Sprint 2</x:v>
      </x:c>
      <x:c r="H10" s="24" t="str">
        <x:v>Done</x:v>
      </x:c>
      <x:c r="I10" s="65" t="n">
        <x:v>5</x:v>
      </x:c>
      <x:c r="J10" s="24" t="str">
        <x:v>US-002</x:v>
      </x:c>
      <x:c r="K10" s="24" t="str">
        <x:v>Product Owner het die draagbare eventmodel binne 68 groen hosttoetse aanvaar</x:v>
      </x:c>
      <x:c r="L10" s="24" t="str">
        <x:v>CHATOD-20260714-MCP-CP-MVP-001 / HOST-ACCEPTED / v0.11.0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In Review</x:v>
      </x:c>
      <x:c r="G11" s="24" t="str">
        <x:v>Sprint 2</x:v>
      </x:c>
      <x:c r="H11" s="24" t="str">
        <x:v>Host accepted / HIL pending</x:v>
      </x:c>
      <x:c r="I11" s="65" t="n">
        <x:v>5</x:v>
      </x:c>
      <x:c r="J11" s="24" t="str">
        <x:v>US-003, US-006</x:v>
      </x:c>
      <x:c r="K11" s="24" t="str">
        <x:v>Dependency-closed device deploy, harde boot en clean imports is fisies groen; werklike USB-MIDI Note On/Off bly oop</x:v>
      </x:c>
      <x:c r="L11" s="24" t="str">
        <x:v>CHATOD-20260714-MCP-CP-MVP-001 / MCP-US-051-IMP-001 / v0.11.1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Done</x:v>
      </x:c>
      <x:c r="G12" s="24" t="str">
        <x:v>Sprint 2</x:v>
      </x:c>
      <x:c r="H12" s="24" t="str">
        <x:v>Done</x:v>
      </x:c>
      <x:c r="I12" s="65" t="n">
        <x:v>5</x:v>
      </x:c>
      <x:c r="J12" s="24" t="str">
        <x:v>US-007</x:v>
      </x:c>
      <x:c r="K12" s="24" t="str">
        <x:v>Kanaal 1-16 roeteer dinamies; kanaallose clock en onbekende kanale bly ongebonde</x:v>
      </x:c>
      <x:c r="L12" s="24" t="str">
        <x:v>CHATOD-20260714-MCP-CP-MVP-001 / MCP-US-008 / commit 68f4dd4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Done</x:v>
      </x:c>
      <x:c r="G13" s="24" t="str">
        <x:v>Sprint 2</x:v>
      </x:c>
      <x:c r="H13" s="24" t="str">
        <x:v>Done</x:v>
      </x:c>
      <x:c r="I13" s="65" t="n">
        <x:v>5</x:v>
      </x:c>
      <x:c r="J13" s="24" t="str">
        <x:v>US-007</x:v>
      </x:c>
      <x:c r="K13" s="24" t="str">
        <x:v>Velocity nul, Note Off, CC120 en CC123 ruim aktiewe note per kanaal op</x:v>
      </x:c>
      <x:c r="L13" s="24" t="str">
        <x:v>CHATOD-20260714-MCP-CP-MVP-001 / MCP-US-009 / commit 3236850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In Review</x:v>
      </x:c>
      <x:c r="G14" s="24" t="str">
        <x:v>Sprint 2</x:v>
      </x:c>
      <x:c r="H14" s="24" t="str">
        <x:v>Host accepted / audible blocked</x:v>
      </x:c>
      <x:c r="I14" s="65" t="n">
        <x:v>5</x:v>
      </x:c>
      <x:c r="J14" s="24" t="str">
        <x:v>US-007</x:v>
      </x:c>
      <x:c r="K14" s="24" t="str">
        <x:v>Per-kanaal bend/CC1-berekening aanvaar; hoorbare toets wag op US-016 en US-063</x:v>
      </x:c>
      <x:c r="L14" s="24" t="str">
        <x:v>CHATOD-20260714-MCP-CP-MVP-001 / MCP-US-010 / HOST-ACCEPTED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Backlog</x:v>
      </x:c>
      <x:c r="G18" s="24" t="str">
        <x:v>Sprint 3</x:v>
      </x:c>
      <x:c r="H18" s="24" t="str">
        <x:v>MVP</x:v>
      </x:c>
      <x:c r="I18" s="65" t="n">
        <x:v>5</x:v>
      </x:c>
      <x:c r="J18" s="24" t="str">
        <x:v>US-002</x:v>
      </x:c>
      <x:c r="K18" s="24" t="str">
        <x:v>Kernlogika kan sonder fisiese klank host-getoets word</x:v>
      </x:c>
      <x:c r="L18" s="24" t="str">
        <x:v>CHATOD-20260714-MCP-CP-MVP-001 / MCP-US-014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MAX98357 Mono I2S Audible Diagnostic</x:v>
      </x:c>
      <x:c r="D20" s="24" t="str">
        <x:v>DSP/Chip Engineer</x:v>
      </x:c>
      <x:c r="E20" s="24" t="str">
        <x:v>Must</x:v>
      </x:c>
      <x:c r="F20" s="24" t="str">
        <x:v>Backlog</x:v>
      </x:c>
      <x:c r="G20" s="24" t="str">
        <x:v>Sprint 3</x:v>
      </x:c>
      <x:c r="H20" s="24" t="str">
        <x:v>MVP</x:v>
      </x:c>
      <x:c r="I20" s="65" t="n">
        <x:v>5</x:v>
      </x:c>
      <x:c r="J20" s="24" t="str">
        <x:v>US-004, US-014</x:v>
      </x:c>
      <x:c r="K20" s="24" t="str">
        <x:v>Ondersteuning, penne, DAC, RAM, latensie en kwaliteit is gemeet</x:v>
      </x:c>
      <x:c r="L20" s="24" t="str">
        <x:v>CHATOD-20260714-MCP-CP-MVP-001 / MCP-US-016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MVP</x:v>
      </x:c>
      <x:c r="I21" s="65" t="n">
        <x:v>5</x:v>
      </x:c>
      <x:c r="J21" s="24" t="str">
        <x:v>US-063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MVP</x:v>
      </x:c>
      <x:c r="I24" s="65" t="n">
        <x:v>5</x:v>
      </x:c>
      <x:c r="J24" s="24" t="str">
        <x:v>US-016, US-063</x:v>
      </x:c>
      <x:c r="K24" s="24" t="str">
        <x:v>Opsionele sestiendenootreeks bewys die klankpad by start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MVP</x:v>
      </x:c>
      <x:c r="I27" s="65" t="n">
        <x:v>5</x:v>
      </x:c>
      <x:c r="J27" s="24" t="str">
        <x:v>US-005, US-022</x:v>
      </x:c>
      <x:c r="K27" s="24" t="str">
        <x:v>Runtime join 'n gekonfigureerde netwerk binne timeout en rapporteer station-IP; by mislukking begin 'n beveiligde AP en rapporteer AP-IP sonder MIDI-/klankblokkasie</x:v>
      </x:c>
      <x:c r="L27" s="24" t="str">
        <x:v>CHATOD-20260714-MCP-CP-MVP-001 / WIFI-RUNTIME-AMENDMENT-001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MVP-late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MVP-late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MVP-late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MVP-late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MVP-late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In Review/MVP</x:v>
      </x:c>
      <x:c r="I55" s="65" t="n">
        <x:v>5</x:v>
      </x:c>
      <x:c r="J55" s="24" t="str">
        <x:v>US-003, US-015</x:v>
      </x:c>
      <x:c r="K55" s="24" t="str">
        <x:v>Autoreload-safe deploy, closure, 16 hashes, libraries, boot en import/execution is fisies groen; klankadapter bly oop</x:v>
      </x:c>
      <x:c r="L55" s="24" t="str">
        <x:v>CHATOD-20260714-MCP-CP-MVP-001 / MCP-US-051-IMP-001 / v0.11.1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</x:v>
      </x:c>
      <x:c r="I59" s="65" t="n">
        <x:v>5</x:v>
      </x:c>
      <x:c r="J59" s="24" t="str">
        <x:v>US-003, US-007</x:v>
      </x:c>
      <x:c r="K59" s="24" t="str">
        <x:v>Logic kies die synth as External MIDI destination en stuur note/clock; fisiese pedaaluitvoer bly die klankpad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</x:v>
      </x:c>
      <x:c r="I61" s="66" t="n">
        <x:v>5</x:v>
      </x:c>
      <x:c r="J61" s="25" t="str">
        <x:v>Alle MVP-stories</x:v>
      </x:c>
      <x:c r="K61" s="25" t="str">
        <x:v>Tag, release notes, bekende beperkings en demo is gereed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MVP</x:v>
      </x:c>
      <x:c r="I62" s="77" t="n">
        <x:v>5</x:v>
      </x:c>
      <x:c r="J62" t="str">
        <x:v>US-008, US-010</x:v>
      </x:c>
      <x:c r="K62" t="str">
        <x:v>Multi-kanaal note en per-kanaal bends behou onafhanklike string/slide-semantiek met konfigureerbare bend range</x:v>
      </x:c>
      <x:c r="L62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MVP</x:v>
      </x:c>
      <x:c r="I63" s="78" t="n">
        <x:v>5</x:v>
      </x:c>
      <x:c r="J63" t="str">
        <x:v>US-018, US-058</x:v>
      </x:c>
      <x:c r="K63" t="str">
        <x:v>'n Generiese MIDI-kitaar en Fishman-verwysing speel note, akkoorde, bends en slides; geen toestelnaam is 'n kodekonstante nie</x:v>
      </x:c>
      <x:c r="L63" t="str">
        <x:v>CHATOD-20260714-MCP-CP-MVP-001 / MCP-US-059</x:v>
      </x:c>
    </x:row>
    <x:row r="64" ht="34" customHeight="1">
      <x:c r="A64" t="str">
        <x:v>MCP-US-060</x:v>
      </x:c>
      <x:c r="B64" t="str">
        <x:v>MCP-EPIC-008</x:v>
      </x:c>
      <x:c r="C64" t="str">
        <x:v>Standalone External MIDI Host Acceptance</x:v>
      </x:c>
      <x:c r="D64" t="str">
        <x:v>QA/Release</x:v>
      </x:c>
      <x:c r="E64" t="str">
        <x:v>Must</x:v>
      </x:c>
      <x:c r="F64" t="str">
        <x:v>Backlog</x:v>
      </x:c>
      <x:c r="G64" t="str">
        <x:v>Release train</x:v>
      </x:c>
      <x:c r="H64" t="str">
        <x:v>MVP</x:v>
      </x:c>
      <x:c r="I64" t="n">
        <x:v>5</x:v>
      </x:c>
      <x:c r="J64" t="str">
        <x:v>US-013, US-017</x:v>
      </x:c>
      <x:c r="K64" t="str">
        <x:v>Controller na Raspberry Pi/eksterne USB-host na DIN/UART lewer note, bend en clock sonder DAW</x:v>
      </x:c>
      <x:c r="L64" t="str">
        <x:v>CHATOD-20260714-MCP-CP-MVP-001 / MIDI-TRANSPORT-MULTICORE-AMENDMENT-001 / MCP-US-060</x:v>
      </x:c>
    </x:row>
    <x:row r="65" ht="34" customHeight="1">
      <x:c r="A65" t="str">
        <x:v>MCP-US-061</x:v>
      </x:c>
      <x:c r="B65" t="str">
        <x:v>MCP-EPIC-006</x:v>
      </x:c>
      <x:c r="C65" t="str">
        <x:v>Multi-Core Resource Guard And Telemetry</x:v>
      </x:c>
      <x:c r="D65" t="str">
        <x:v>DSP/Chip Engineer</x:v>
      </x:c>
      <x:c r="E65" t="str">
        <x:v>Must</x:v>
      </x:c>
      <x:c r="F65" t="str">
        <x:v>Backlog</x:v>
      </x:c>
      <x:c r="G65" t="str">
        <x:v>MVP-late</x:v>
      </x:c>
      <x:c r="H65" t="str">
        <x:v>MVP-late</x:v>
      </x:c>
      <x:c r="I65" t="n">
        <x:v>5</x:v>
      </x:c>
      <x:c r="J65" t="str">
        <x:v>US-037</x:v>
      </x:c>
      <x:c r="K65" t="str">
        <x:v>Heap, looplatensie en dropout word gemeet; onveilige addisionele kern word deterministies geweier of afgeskakel</x:v>
      </x:c>
      <x:c r="L65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Impediment</x:v>
      </x:c>
      <x:c r="G66" s="83" t="str">
        <x:v>Sprint 4</x:v>
      </x:c>
      <x:c r="H66" s="83" t="str">
        <x:v>S2 negative accepted / BLE HIL blocked</x:v>
      </x:c>
      <x:c r="I66" s="83" t="n">
        <x:v>8</x:v>
      </x:c>
      <x:c r="J66" s="83" t="str">
        <x:v>US-006, US-007, US-052</x:v>
      </x:c>
      <x:c r="K66" s="83" t="str">
        <x:v>S2-negatiewe gate aanvaar; positiewe BLE-HIL wag op 'n werklike BLE-bord</x:v>
      </x:c>
      <x:c r="L66" s="83" t="str">
        <x:v>CHATOD-20260714-MCP-CP-MVP-001 / MCP-US-062 / S2-NEGATIVE-ACCEPTED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Backlog</x:v>
      </x:c>
      <x:c r="G67" s="83" t="str">
        <x:v>Sprint 3</x:v>
      </x:c>
      <x:c r="H67" s="83" t="str">
        <x:v>MVP</x:v>
      </x:c>
      <x:c r="I67" s="83" t="n">
        <x:v>8</x:v>
      </x:c>
      <x:c r="J67" s="83" t="str">
        <x:v>US-006, US-014, US-016</x:v>
      </x:c>
      <x:c r="K67" s="83" t="str">
        <x:v>Nuut-geporteerde sine/saw/square D1-gedrag speel via AudioOutput; geen desktop-backend of produksierepo-wysiging</x:v>
      </x:c>
      <x:c r="L67" s="83" t="str">
        <x:v>CHATOD-20260714-MCP-CP-MVP-001 / SCOPE-AMENDMENT-002 / MCP-US-063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9907143572430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COUNTIF('Backlog'!$B$5:$B$67,A5)</x:f>
        <x:v>5</x:v>
      </x:c>
      <x:c r="D5" s="64" t="n">
        <x:f>COUNTIFS('Backlog'!$B$5:$B$67,A5,'Backlog'!$E$5:$E$67,"Must")</x:f>
        <x:v>4</x:v>
      </x:c>
      <x:c r="E5" s="64" t="n">
        <x:f>COUNTIFS('Backlog'!$B$5:$B$67,A5,'Backlog'!$F$5:$F$67,"Done")</x:f>
        <x:v>4</x:v>
      </x:c>
      <x:c r="F5" s="23" t="str">
        <x:v>Veilige, draagbare basis en konfigurasiegrens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COUNTIF('Backlog'!$B$5:$B$67,A6)</x:f>
        <x:v>10</x:v>
      </x:c>
      <x:c r="D6" s="65" t="n">
        <x:f>COUNTIFS('Backlog'!$B$5:$B$67,A6,'Backlog'!$E$5:$E$67,"Must")</x:f>
        <x:v>10</x:v>
      </x:c>
      <x:c r="E6" s="65" t="n">
        <x:f>COUNTIFS('Backlog'!$B$5:$B$67,A6,'Backlog'!$F$5:$F$67,"Done")</x:f>
        <x:v>3</x:v>
      </x:c>
      <x:c r="F6" s="24" t="str">
        <x:v>USB, BLE en DIN/UART MIDI; guitar slides, kontroles en clock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COUNTIF('Backlog'!$B$5:$B$67,A7)</x:f>
        <x:v>9</x:v>
      </x:c>
      <x:c r="D7" s="65" t="n">
        <x:f>COUNTIFS('Backlog'!$B$5:$B$67,A7,'Backlog'!$E$5:$E$67,"Must")</x:f>
        <x:v>9</x:v>
      </x:c>
      <x:c r="E7" s="65" t="n">
        <x:f>COUNTIFS('Backlog'!$B$5:$B$67,A7,'Backlog'!$F$5:$F$67,"Done")</x:f>
        <x:v>0</x:v>
      </x:c>
      <x:c r="F7" s="24" t="str">
        <x:v>MAX98357 mono eerste; D1-basiskern, SN76489 en latere stereo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COUNTIF('Backlog'!$B$5:$B$67,A8)</x:f>
        <x:v>6</x:v>
      </x:c>
      <x:c r="D8" s="65" t="n">
        <x:f>COUNTIFS('Backlog'!$B$5:$B$67,A8,'Backlog'!$E$5:$E$67,"Must")</x:f>
        <x:v>6</x:v>
      </x:c>
      <x:c r="E8" s="65" t="n">
        <x:f>COUNTIFS('Backlog'!$B$5:$B$67,A8,'Backlog'!$F$5:$F$67,"Done")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COUNTIF('Backlog'!$B$5:$B$67,A9)</x:f>
        <x:v>6</x:v>
      </x:c>
      <x:c r="D9" s="65" t="n">
        <x:f>COUNTIFS('Backlog'!$B$5:$B$67,A9,'Backlog'!$E$5:$E$67,"Must")</x:f>
        <x:v>1</x:v>
      </x:c>
      <x:c r="E9" s="65" t="n">
        <x:f>COUNTIFS('Backlog'!$B$5:$B$67,A9,'Backlog'!$F$5:$F$67,"Done")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COUNTIF('Backlog'!$B$5:$B$67,A10)</x:f>
        <x:v>10</x:v>
      </x:c>
      <x:c r="D10" s="65" t="n">
        <x:f>COUNTIFS('Backlog'!$B$5:$B$67,A10,'Backlog'!$E$5:$E$67,"Must")</x:f>
        <x:v>5</x:v>
      </x:c>
      <x:c r="E10" s="65" t="n">
        <x:f>COUNTIFS('Backlog'!$B$5:$B$67,A10,'Backlog'!$F$5:$F$67,"Done")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COUNTIF('Backlog'!$B$5:$B$67,A11)</x:f>
        <x:v>7</x:v>
      </x:c>
      <x:c r="D11" s="65" t="n">
        <x:f>COUNTIFS('Backlog'!$B$5:$B$67,A11,'Backlog'!$E$5:$E$67,"Must")</x:f>
        <x:v>3</x:v>
      </x:c>
      <x:c r="E11" s="65" t="n">
        <x:f>COUNTIFS('Backlog'!$B$5:$B$67,A11,'Backlog'!$F$5:$F$67,"Done")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COUNTIF('Backlog'!$B$5:$B$67,A12)</x:f>
        <x:v>10</x:v>
      </x:c>
      <x:c r="D12" s="66" t="n">
        <x:f>COUNTIFS('Backlog'!$B$5:$B$67,A12,'Backlog'!$E$5:$E$67,"Must")</x:f>
        <x:v>9</x:v>
      </x:c>
      <x:c r="E12" s="66" t="n">
        <x:f>COUNTIFS('Backlog'!$B$5:$B$67,A12,'Backlog'!$F$5:$F$67,"Done")</x:f>
        <x:v>0</x:v>
      </x:c>
      <x:c r="F12" s="25" t="str">
        <x:v>Host/HIL, BLE-tweedebord, kruisplatform en release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f468f8966db645b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29 geregistreerde risiko's; dependency-closed Wemos HIL slaag en R-029 is beheers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oorskry CPU/RAM</x:v>
      </x:c>
      <x:c r="C13" s="24" t="str">
        <x:v>High</x:v>
      </x:c>
      <x:c r="D13" s="24" t="str">
        <x:v>High</x:v>
      </x:c>
      <x:c r="E13" s="24" t="str">
        <x:v>DSP</x:v>
      </x:c>
      <x:c r="F13" s="24" t="str">
        <x:v>Een kern eerste; twee verskillende kerne slegs na resource gate en MCP-US-061 telemetry</x:v>
      </x:c>
      <x:c r="G13" s="24" t="str">
        <x:v>Open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Backup; dependency-closed 16-lêer manifest; nie-destruktiewe deploy; hash- en import-proof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BLE-MIDI is Must, maar die primere ESP32-S2 het geen native BLE nie</x:v>
      </x:c>
      <x:c r="C27" s="83" t="str">
        <x:v>High</x:v>
      </x:c>
      <x:c r="D27" s="83" t="str">
        <x:v>High</x:v>
      </x:c>
      <x:c r="E27" s="83" t="str">
        <x:v>Architect/Embedded</x:v>
      </x:c>
      <x:c r="F27" s="83" t="str">
        <x:v>Capability gate; tweede BLE-bordprofiel in US-052 en positiewe HIL in US-062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Controlled - writable HIL 2026-07-15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7cfb43d3d4433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Copilot adviseer as eksterne reviewer;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36" customHeight="1">
      <x:c r="A5" s="23" t="str">
        <x:v>Sales/Discovery</x:v>
      </x:c>
      <x:c r="B5" s="23" t="str">
        <x:v>Waarde, gebruiker, begroting</x:v>
      </x:c>
      <x:c r="C5" s="23" t="str">
        <x:v>Waardehipotese en demo-uitkoms</x:v>
      </x:c>
    </x:row>
    <x:row r="6" ht="36" customHeight="1">
      <x:c r="A6" s="24" t="str">
        <x:v>Business Analyst</x:v>
      </x:c>
      <x:c r="B6" s="24" t="str">
        <x:v>Vloei, omvang, aannames</x:v>
      </x:c>
      <x:c r="C6" s="24" t="str">
        <x:v>Story, kriteria en nie-doelwitte</x:v>
      </x:c>
    </x:row>
    <x:row r="7" ht="36" customHeight="1">
      <x:c r="A7" s="24" t="str">
        <x:v>Product Owner</x:v>
      </x:c>
      <x:c r="B7" s="24" t="str">
        <x:v>Prioriteit en aanvaarding</x:v>
      </x:c>
      <x:c r="C7" s="24" t="str">
        <x:v>Ready/accept/reject</x:v>
      </x:c>
    </x:row>
    <x:row r="8" ht="36" customHeight="1">
      <x:c r="A8" s="24" t="str">
        <x:v>Scrum Master</x:v>
      </x:c>
      <x:c r="B8" s="24" t="str">
        <x:v>Volgorde en impediments</x:v>
      </x:c>
      <x:c r="C8" s="24" t="str">
        <x:v>Now/Next/Later en blocker</x:v>
      </x:c>
    </x:row>
    <x:row r="9" ht="36" customHeight="1">
      <x:c r="A9" s="24" t="str">
        <x:v>Solution Architect</x:v>
      </x:c>
      <x:c r="B9" s="24" t="str">
        <x:v>Poorte, ADR en portabiliteit</x:v>
      </x:c>
      <x:c r="C9" s="24" t="str">
        <x:v>Ontwerpresensie en trade-off</x:v>
      </x:c>
    </x:row>
    <x:row r="10" ht="36" customHeight="1">
      <x:c r="A10" s="24" t="str">
        <x:v>Embedded Engineer</x:v>
      </x:c>
      <x:c r="B10" s="24" t="str">
        <x:v>Boot, bord, penne, geheue</x:v>
      </x:c>
      <x:c r="C10" s="24" t="str">
        <x:v>Bordimpak en herstelpad</x:v>
      </x:c>
    </x:row>
    <x:row r="11" ht="36" customHeight="1">
      <x:c r="A11" s="24" t="str">
        <x:v>MIDI Engineer</x:v>
      </x:c>
      <x:c r="B11" s="24" t="str">
        <x:v>MIDI, kanale, clock, controls</x:v>
      </x:c>
      <x:c r="C11" s="24" t="str">
        <x:v>Kontrakte en randgevalle</x:v>
      </x:c>
    </x:row>
    <x:row r="12" ht="36" customHeight="1">
      <x:c r="A12" s="24" t="str">
        <x:v>DSP/Chip Engineer</x:v>
      </x:c>
      <x:c r="B12" s="24" t="str">
        <x:v>Kern, voices, audio, DSP</x:v>
      </x:c>
      <x:c r="C12" s="24" t="str">
        <x:v>CPU/RAM/latensie/akkuraatheid</x:v>
      </x:c>
    </x:row>
    <x:row r="13" ht="36" customHeight="1">
      <x:c r="A13" s="24" t="str">
        <x:v>Web Engineer</x:v>
      </x:c>
      <x:c r="B13" s="24" t="str">
        <x:v>Plaaslike UI en scheduling</x:v>
      </x:c>
      <x:c r="C13" s="24" t="str">
        <x:v>UI-vloei en bronimpak</x:v>
      </x:c>
    </x:row>
    <x:row r="14" ht="36" customHeight="1">
      <x:c r="A14" s="24" t="str">
        <x:v>QA/HIL Engineer</x:v>
      </x:c>
      <x:c r="B14" s="24" t="str">
        <x:v>Rooi/groen en instrumentmeting</x:v>
      </x:c>
      <x:c r="C14" s="24" t="str">
        <x:v>Toetsmatriks en bewys</x:v>
      </x:c>
    </x:row>
    <x:row r="15" ht="36" customHeight="1">
      <x:c r="A15" s="25" t="str">
        <x:v>Release/Documentation</x:v>
      </x:c>
      <x:c r="B15" s="25" t="str">
        <x:v>Git, installasie en traceability</x:v>
      </x:c>
      <x:c r="C15" s="25" t="str">
        <x:v>Publikasiehek en docs</x:v>
      </x:c>
    </x:row>
    <x:row r="16" ht="38" customHeight="1">
      <x:c r="A16" t="str">
        <x:v>External Architecture Reviewer (Copilot)</x:v>
      </x:c>
      <x:c r="B16" t="str">
        <x:v>Onafhanklike ontwerp- en risiko-review</x:v>
      </x:c>
      <x:c r="C16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7feade596b594f1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 ID, runtime, autoreload en hard reset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  <x:row r="33">
      <x:c r="A33" t="str">
        <x:v>MIDI Association MIDI 1.0 summary</x:v>
      </x:c>
      <x:c r="B33" t="str">
        <x:v>Channel messages, 14-bit bend and timing clock</x:v>
      </x:c>
      <x:c r="C33" t="str">
        <x:v>Official standards body</x:v>
      </x:c>
      <x:c r="D33" t="str">
        <x:v>https://midi.org/summary-of-midi-1-0-messages</x:v>
      </x:c>
    </x:row>
    <x:row r="34">
      <x:c r="A34" t="str">
        <x:v>CircUp</x:v>
      </x:c>
      <x:c r="B34" t="str">
        <x:v>Requirements-gebaseerde CircuitPython library-installering</x:v>
      </x:c>
      <x:c r="C34" t="str">
        <x:v>Official tool</x:v>
      </x:c>
      <x:c r="D34" t="str">
        <x:v>https://docs.circuitpython.org/projects/circup/en/latest/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5f8af9ccb27d458c"/>
  </x:tableParts>
</x:worksheet>
</file>