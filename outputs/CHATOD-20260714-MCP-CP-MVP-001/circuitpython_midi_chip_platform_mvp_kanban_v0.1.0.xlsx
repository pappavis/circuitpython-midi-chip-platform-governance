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50095f6c2e40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15eca3c5ae74f88"/>
    <x:sheet xmlns:r="http://schemas.openxmlformats.org/officeDocument/2006/relationships" name="Backlog" sheetId="2" r:id="R8289e600bf5b4c7e"/>
    <x:sheet xmlns:r="http://schemas.openxmlformats.org/officeDocument/2006/relationships" name="Epics" sheetId="3" r:id="Rce8f7e1e88894285"/>
    <x:sheet xmlns:r="http://schemas.openxmlformats.org/officeDocument/2006/relationships" name="Risks" sheetId="4" r:id="Rcbe5280a3ef84e7f"/>
    <x:sheet xmlns:r="http://schemas.openxmlformats.org/officeDocument/2006/relationships" name="Team RACI" sheetId="5" r:id="Ra56ed1de19954598"/>
    <x:sheet xmlns:r="http://schemas.openxmlformats.org/officeDocument/2006/relationships" name="Sources" sheetId="6" r:id="Rb5c5ef7e31b640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09daa69a254617" /><Relationship Type="http://schemas.openxmlformats.org/officeDocument/2006/relationships/theme" Target="/xl/theme/theme1.xml" Id="Rd0b2b353009a4e25" /><Relationship Type="http://schemas.openxmlformats.org/officeDocument/2006/relationships/sharedStrings" Target="/xl/sharedStrings.xml" Id="Rb5ad65ccc09747ca" /><Relationship Type="http://schemas.openxmlformats.org/officeDocument/2006/relationships/worksheet" Target="/xl/worksheets/sheet1.xml" Id="R015eca3c5ae74f88" /><Relationship Type="http://schemas.openxmlformats.org/officeDocument/2006/relationships/worksheet" Target="/xl/worksheets/sheet2.xml" Id="R8289e600bf5b4c7e" /><Relationship Type="http://schemas.openxmlformats.org/officeDocument/2006/relationships/worksheet" Target="/xl/worksheets/sheet3.xml" Id="Rce8f7e1e88894285" /><Relationship Type="http://schemas.openxmlformats.org/officeDocument/2006/relationships/worksheet" Target="/xl/worksheets/sheet4.xml" Id="Rcbe5280a3ef84e7f" /><Relationship Type="http://schemas.openxmlformats.org/officeDocument/2006/relationships/worksheet" Target="/xl/worksheets/sheet5.xml" Id="Ra56ed1de19954598" /><Relationship Type="http://schemas.openxmlformats.org/officeDocument/2006/relationships/worksheet" Target="/xl/worksheets/sheet6.xml" Id="Rb5c5ef7e31b64058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3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600634f52144de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2e63f5356c0443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9957f557d1c418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8763a16aa17458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fef0399e85f4b8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2 | scope v0.13.0 | runtime v0.11.0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COUNTA('Backlog'!$A$5:$A$67)</x:f>
        <x:v>63</x:v>
      </x:c>
      <x:c r="C5" s="85"/>
      <x:c r="D5" s="110" t="str">
        <x:v>1. Veilige minimale USB-MIDI boot en herstel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COUNTIF('Backlog'!$F$5:$F$67,"Done")</x:f>
        <x:v>6</x:v>
      </x:c>
      <x:c r="C6" s="85"/>
      <x:c r="D6" s="111" t="str">
        <x:v>2. MAX98357 mono-I2S eerste; PWM fallback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COUNTIF('Backlog'!$F$5:$F$67,"In Progress")</x:f>
        <x:v>0</x:v>
      </x:c>
      <x:c r="C7" s="85"/>
      <x:c r="D7" s="111" t="str">
        <x:v>3. D1-basiskern voor SN76489; SID en OPL daarna</x:v>
      </x:c>
      <x:c r="E7" s="111"/>
      <x:c r="F7" s="111"/>
      <x:c r="G7" s="111"/>
      <x:c r="H7" s="111"/>
    </x:row>
    <x:row r="8">
      <x:c r="A8" s="111" t="str">
        <x:v>MVP-gemerk</x:v>
      </x:c>
      <x:c r="B8" s="114" t="n">
        <x:f>COUNTIF('Backlog'!$E$5:$E$67,"Must")</x:f>
        <x:v>47</x:v>
      </x:c>
      <x:c r="C8" s="85"/>
      <x:c r="D8" s="112" t="str">
        <x:v>4. BLE op tweede bord; S2 faal veilig; multi-core na resource gate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COUNTA('Risks'!A5:A33)</x:f>
        <x:v>29</x:v>
      </x:c>
      <x:c r="C9" s="85"/>
      <x:c r="D9" s="116" t="str">
        <x:v>5. Station join met beveiligde AP-fallback; mobile UI en logging binne begroting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RACI'!$A$5:$A$16)</x:f>
        <x:v>12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Aktiewe hek: MCP-US-010 hoorbare bend/CC1 wag op I2S + D1 core | US-062 BLE HIL impediment | 68 hosttoetse groen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Product Owner note: outonome hoststories is gepush. Fisiese USB/BLE/klank-aanvaarding bly menslike HIL en word nie uit hosttoetse afgelei nie.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63 stories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Done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Done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In Review</x:v>
      </x:c>
      <x:c r="G9" s="24" t="str">
        <x:v>Sprint 1</x:v>
      </x:c>
      <x:c r="H9" s="24" t="str">
        <x:v>In Review</x:v>
      </x:c>
      <x:c r="I9" s="65" t="n">
        <x:v>5</x:v>
      </x:c>
      <x:c r="J9" s="24" t="str">
        <x:v>US-003</x:v>
      </x:c>
      <x:c r="K9" s="24" t="str">
        <x:v>Publieke verstekke, private settings en override-prioriteit is host-groen; toestel-deploy wag op leesalleen-volume herstel</x:v>
      </x:c>
      <x:c r="L9" s="24" t="str">
        <x:v>CHATOD-20260714-MCP-CP-MVP-001 / MCP-US-005 / v0.5.0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In Review</x:v>
      </x:c>
      <x:c r="G10" s="24" t="str">
        <x:v>Sprint 2</x:v>
      </x:c>
      <x:c r="H10" s="24" t="str">
        <x:v>In Review</x:v>
      </x:c>
      <x:c r="I10" s="65" t="n">
        <x:v>5</x:v>
      </x:c>
      <x:c r="J10" s="24" t="str">
        <x:v>US-002</x:v>
      </x:c>
      <x:c r="K10" s="24" t="str">
        <x:v>Note, CC, 14-bit bend en kanaallose clock gebruik backend-onafhanklike klasse; 49 hosttoetse en events-diagnose is groen</x:v>
      </x:c>
      <x:c r="L10" s="24" t="str">
        <x:v>CHATOD-20260714-MCP-CP-MVP-001 / MCP-US-006 / v0.6.0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In Review</x:v>
      </x:c>
      <x:c r="G11" s="24" t="str">
        <x:v>Sprint 2</x:v>
      </x:c>
      <x:c r="H11" s="24" t="str">
        <x:v>In Review</x:v>
      </x:c>
      <x:c r="I11" s="65" t="n">
        <x:v>5</x:v>
      </x:c>
      <x:c r="J11" s="24" t="str">
        <x:v>US-003, US-006</x:v>
      </x:c>
      <x:c r="K11" s="24" t="str">
        <x:v>Host receive-loop groen; fisiese USB-MIDI Note On/Off wag op herstelbare toestel-deploy</x:v>
      </x:c>
      <x:c r="L11" s="24" t="str">
        <x:v>CHATOD-20260714-MCP-CP-MVP-001 / MCP-US-007 / commit 3ffc1bc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Done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Done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Control ready / audible blocked</x:v>
      </x:c>
      <x:c r="I14" s="65" t="n">
        <x:v>5</x:v>
      </x:c>
      <x:c r="J14" s="24" t="str">
        <x:v>US-007</x:v>
      </x:c>
      <x:c r="K14" s="24" t="str">
        <x:v>Per-kanaal bend/CC1 diagnosties groen; hoorbare toets wag op US-016 en US-063</x:v>
      </x:c>
      <x:c r="L14" s="24" t="str">
        <x:v>CHATOD-20260714-MCP-CP-MVP-001 / MCP-US-010 / v0.11.0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US-063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US-016, US-063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Runtime join 'n gekonfigureerde netwerk binne timeout en rapporteer station-IP; by mislukking begin 'n beveiligde AP en rapporteer AP-IP sonder MIDI-/klankblokkasie</x:v>
      </x:c>
      <x:c r="L27" s="24" t="str">
        <x:v>CHATOD-20260714-MCP-CP-MVP-001 / WIFI-RUNTIME-AMENDMENT-001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MVP-late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MVP-late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MVP-late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In Review/MVP</x:v>
      </x:c>
      <x:c r="I55" s="65" t="n">
        <x:v>5</x:v>
      </x:c>
      <x:c r="J55" s="24" t="str">
        <x:v>US-003, US-015</x:v>
      </x:c>
      <x:c r="K55" s="24" t="str">
        <x:v>Connection/deploy/boot/execution-runner is groen; USB-MIDI bewys; klankmeting wag op US-015/016</x:v>
      </x:c>
      <x:c r="L55" s="24" t="str">
        <x:v>CHATOD-20260714-MCP-CP-MVP-001 / MCP-US-051-IN-REVIEW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kies die synth as External MIDI destination en stuur note/clock; fisiese pedaaluitvoer bly die klankpad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 t="str">
        <x:v>US-008, US-010</x:v>
      </x:c>
      <x:c r="K62" t="str">
        <x:v>Multi-kanaal note en per-kanaal bends behou onafhanklike string/slide-semantiek met konfigureerbare bend range</x:v>
      </x:c>
      <x:c r="L62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 t="str">
        <x:v>US-018, US-058</x:v>
      </x:c>
      <x:c r="K63" t="str">
        <x:v>'n Generiese MIDI-kitaar en Fishman-verwysing speel note, akkoorde, bends en slides; geen toestelnaam is 'n kodekonstante nie</x:v>
      </x:c>
      <x:c r="L63" t="str">
        <x:v>CHATOD-20260714-MCP-CP-MVP-001 / MCP-US-059</x:v>
      </x:c>
    </x:row>
    <x:row r="64" ht="34" customHeight="1">
      <x:c r="A64" t="str">
        <x:v>MCP-US-060</x:v>
      </x:c>
      <x:c r="B64" t="str">
        <x:v>MCP-EPIC-008</x:v>
      </x:c>
      <x:c r="C64" t="str">
        <x:v>Standalone External MIDI Host Acceptance</x:v>
      </x:c>
      <x:c r="D64" t="str">
        <x:v>QA/Release</x:v>
      </x:c>
      <x:c r="E64" t="str">
        <x:v>Must</x:v>
      </x:c>
      <x:c r="F64" t="str">
        <x:v>Backlog</x:v>
      </x:c>
      <x:c r="G64" t="str">
        <x:v>Release train</x:v>
      </x:c>
      <x:c r="H64" t="str">
        <x:v>MVP</x:v>
      </x:c>
      <x:c r="I64" t="n">
        <x:v>5</x:v>
      </x:c>
      <x:c r="J64" t="str">
        <x:v>US-013, US-017</x:v>
      </x:c>
      <x:c r="K64" t="str">
        <x:v>Controller na Raspberry Pi/eksterne USB-host na DIN/UART lewer note, bend en clock sonder DAW</x:v>
      </x:c>
      <x:c r="L64" t="str">
        <x:v>CHATOD-20260714-MCP-CP-MVP-001 / MIDI-TRANSPORT-MULTICORE-AMENDMENT-001 / MCP-US-060</x:v>
      </x:c>
    </x:row>
    <x:row r="65" ht="34" customHeight="1">
      <x:c r="A65" t="str">
        <x:v>MCP-US-061</x:v>
      </x:c>
      <x:c r="B65" t="str">
        <x:v>MCP-EPIC-006</x:v>
      </x:c>
      <x:c r="C65" t="str">
        <x:v>Multi-Core Resource Guard And Telemetry</x:v>
      </x:c>
      <x:c r="D65" t="str">
        <x:v>DSP/Chip Engineer</x:v>
      </x:c>
      <x:c r="E65" t="str">
        <x:v>Must</x:v>
      </x:c>
      <x:c r="F65" t="str">
        <x:v>Backlog</x:v>
      </x:c>
      <x:c r="G65" t="str">
        <x:v>MVP-late</x:v>
      </x:c>
      <x:c r="H65" t="str">
        <x:v>MVP-late</x:v>
      </x:c>
      <x:c r="I65" t="n">
        <x:v>5</x:v>
      </x:c>
      <x:c r="J65" t="str">
        <x:v>US-037</x:v>
      </x:c>
      <x:c r="K65" t="str">
        <x:v>Heap, looplatensie en dropout word gemeet; onveilige addisionele kern word deterministies geweier of afgeskakel</x:v>
      </x:c>
      <x:c r="L65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Host ready / HIL blocked</x:v>
      </x:c>
      <x:c r="I66" s="83" t="n">
        <x:v>8</x:v>
      </x:c>
      <x:c r="J66" s="83" t="str">
        <x:v>US-006, US-007, US-052</x:v>
      </x:c>
      <x:c r="K66" s="83" t="str">
        <x:v>S2 faal veilig sonder BLE; gedeelde transport groen; positiewe BLE-HIL wag op werklike BLE-bord</x:v>
      </x:c>
      <x:c r="L66" s="83" t="str">
        <x:v>CHATOD-20260714-MCP-CP-MVP-001 / MCP-US-062 / commit 535fde5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</x:v>
      </x:c>
      <x:c r="I67" s="83" t="n">
        <x:v>8</x:v>
      </x:c>
      <x:c r="J67" s="83" t="str">
        <x:v>US-006, US-014, US-016</x:v>
      </x:c>
      <x:c r="K67" s="83" t="str">
        <x:v>Nuut-geporteerde sine/saw/square D1-gedrag speel via AudioOutput; geen desktop-backend of produksierepo-wysiging</x:v>
      </x:c>
      <x:c r="L67" s="83" t="str">
        <x:v>CHATOD-20260714-MCP-CP-MVP-001 / SCOPE-AMENDMENT-002 / MCP-US-063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00634f52144de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COUNTIF('Backlog'!$B$5:$B$67,A5)</x:f>
        <x:v>5</x:v>
      </x:c>
      <x:c r="D5" s="64" t="n">
        <x:f>COUNTIFS('Backlog'!$B$5:$B$67,A5,'Backlog'!$E$5:$E$67,"Must")</x:f>
        <x:v>4</x:v>
      </x:c>
      <x:c r="E5" s="64" t="n">
        <x:f>COUNTIFS('Backlog'!$B$5:$B$67,A5,'Backlog'!$F$5:$F$67,"Done")</x:f>
        <x:v>4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COUNTIF('Backlog'!$B$5:$B$67,A6)</x:f>
        <x:v>10</x:v>
      </x:c>
      <x:c r="D6" s="65" t="n">
        <x:f>COUNTIFS('Backlog'!$B$5:$B$67,A6,'Backlog'!$E$5:$E$67,"Must")</x:f>
        <x:v>10</x:v>
      </x:c>
      <x:c r="E6" s="65" t="n">
        <x:f>COUNTIFS('Backlog'!$B$5:$B$67,A6,'Backlog'!$F$5:$F$67,"Done")</x:f>
        <x:v>2</x:v>
      </x:c>
      <x:c r="F6" s="24" t="str">
        <x:v>USB, BLE en DIN/UART MIDI; guitar slides, kontroles en clock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COUNTIF('Backlog'!$B$5:$B$67,A7)</x:f>
        <x:v>9</x:v>
      </x:c>
      <x:c r="D7" s="65" t="n">
        <x:f>COUNTIFS('Backlog'!$B$5:$B$67,A7,'Backlog'!$E$5:$E$67,"Must")</x:f>
        <x:v>9</x:v>
      </x:c>
      <x:c r="E7" s="65" t="n">
        <x:f>COUNTIFS('Backlog'!$B$5:$B$67,A7,'Backlog'!$F$5:$F$67,"Done")</x:f>
        <x:v>0</x:v>
      </x:c>
      <x:c r="F7" s="24" t="str">
        <x:v>MAX98357 mono eerste; D1-basiskern,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COUNTIF('Backlog'!$B$5:$B$67,A8)</x:f>
        <x:v>6</x:v>
      </x:c>
      <x:c r="D8" s="65" t="n">
        <x:f>COUNTIFS('Backlog'!$B$5:$B$67,A8,'Backlog'!$E$5:$E$67,"Must")</x:f>
        <x:v>6</x:v>
      </x:c>
      <x:c r="E8" s="65" t="n">
        <x:f>COUNTIFS('Backlog'!$B$5:$B$67,A8,'Backlog'!$F$5:$F$67,"Done")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COUNTIF('Backlog'!$B$5:$B$67,A9)</x:f>
        <x:v>6</x:v>
      </x:c>
      <x:c r="D9" s="65" t="n">
        <x:f>COUNTIFS('Backlog'!$B$5:$B$67,A9,'Backlog'!$E$5:$E$67,"Must")</x:f>
        <x:v>1</x:v>
      </x:c>
      <x:c r="E9" s="65" t="n">
        <x:f>COUNTIFS('Backlog'!$B$5:$B$67,A9,'Backlog'!$F$5:$F$67,"Done")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COUNTIF('Backlog'!$B$5:$B$67,A10)</x:f>
        <x:v>10</x:v>
      </x:c>
      <x:c r="D10" s="65" t="n">
        <x:f>COUNTIFS('Backlog'!$B$5:$B$67,A10,'Backlog'!$E$5:$E$67,"Must")</x:f>
        <x:v>5</x:v>
      </x:c>
      <x:c r="E10" s="65" t="n">
        <x:f>COUNTIFS('Backlog'!$B$5:$B$67,A10,'Backlog'!$F$5:$F$67,"Done")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COUNTIF('Backlog'!$B$5:$B$67,A11)</x:f>
        <x:v>7</x:v>
      </x:c>
      <x:c r="D11" s="65" t="n">
        <x:f>COUNTIFS('Backlog'!$B$5:$B$67,A11,'Backlog'!$E$5:$E$67,"Must")</x:f>
        <x:v>3</x:v>
      </x:c>
      <x:c r="E11" s="65" t="n">
        <x:f>COUNTIFS('Backlog'!$B$5:$B$67,A11,'Backlog'!$F$5:$F$67,"Done")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COUNTIF('Backlog'!$B$5:$B$67,A12)</x:f>
        <x:v>10</x:v>
      </x:c>
      <x:c r="D12" s="66" t="n">
        <x:f>COUNTIFS('Backlog'!$B$5:$B$67,A12,'Backlog'!$E$5:$E$67,"Must")</x:f>
        <x:v>9</x:v>
      </x:c>
      <x:c r="E12" s="66" t="n">
        <x:f>COUNTIFS('Backlog'!$B$5:$B$67,A12,'Backlog'!$F$5:$F$67,"Done")</x:f>
        <x:v>0</x:v>
      </x:c>
      <x:c r="F12" s="25" t="str">
        <x:v>Host/HIL, BLE-tweedebord,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02e63f5356c0443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29 geregistreerde risiko's; US-005 deploy is veilig gestop by 'n leesalleen CIRCUITPY-volume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eerste; twee verskillende kerne slegs na resource gate en MCP-US-061 telemetry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Backup, manifest en dry-run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BLE-MIDI is Must, maar die primere ESP32-S2 het geen native BLE nie</x:v>
      </x:c>
      <x:c r="C27" s="83" t="str">
        <x:v>High</x:v>
      </x:c>
      <x:c r="D27" s="83" t="str">
        <x:v>High</x:v>
      </x:c>
      <x:c r="E27" s="83" t="str">
        <x:v>Architect/Embedded</x:v>
      </x:c>
      <x:c r="F27" s="83" t="str">
        <x:v>Capability gate; tweede BLE-bordprofiel in US-052 en positiewe HIL in US-062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Open - US-005 HIL gate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957f557d1c418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Copilot adviseer as eksterne reviewer;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  <x:row r="16" ht="38" customHeight="1">
      <x:c r="A16" t="str">
        <x:v>External Architecture Reviewer (Copilot)</x:v>
      </x:c>
      <x:c r="B16" t="str">
        <x:v>Onafhanklike ontwerp- en risiko-review</x:v>
      </x:c>
      <x:c r="C16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28763a16aa17458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USB-identiteit en runtime-inspeksie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fef0399e85f4b84"/>
  </x:tableParts>
</x:worksheet>
</file>