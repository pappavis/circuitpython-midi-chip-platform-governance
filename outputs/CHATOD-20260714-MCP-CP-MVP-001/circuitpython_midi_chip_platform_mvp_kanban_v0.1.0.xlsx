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09476954d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ea33ce5d1c4875"/>
    <x:sheet xmlns:r="http://schemas.openxmlformats.org/officeDocument/2006/relationships" name="Backlog" sheetId="2" r:id="R218347a9a4ce4b36"/>
    <x:sheet xmlns:r="http://schemas.openxmlformats.org/officeDocument/2006/relationships" name="Epics" sheetId="3" r:id="Ra5aed93ce89b4521"/>
    <x:sheet xmlns:r="http://schemas.openxmlformats.org/officeDocument/2006/relationships" name="Risks" sheetId="4" r:id="Re6f121bba1ad469a"/>
    <x:sheet xmlns:r="http://schemas.openxmlformats.org/officeDocument/2006/relationships" name="Team RACI" sheetId="5" r:id="R0f24e0d0a64f47fa"/>
    <x:sheet xmlns:r="http://schemas.openxmlformats.org/officeDocument/2006/relationships" name="Sources" sheetId="6" r:id="R0618949d4d27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14"/>
      <x:color rgb="FF102A43"/>
      <x:name val="Carlito"/>
    </x:font>
    <x:font>
      <x:b/>
      <x:sz val="12"/>
      <x:color rgb="FFFFFFFF"/>
      <x:name val="Carlito"/>
    </x:font>
    <x:font>
      <x:sz val="10"/>
      <x:color rgb="FF627D98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1F2933"/>
      <x:name val="Aptos"/>
    </x:font>
    <x:font>
      <x:b/>
      <x:sz val="10"/>
      <x:color rgb="FFFFFFFF"/>
      <x:name val="Aptos"/>
    </x:font>
    <x:font>
      <x:sz val="9"/>
      <x:color rgb="FF1F2933"/>
      <x:name val="Aptos"/>
    </x:font>
    <x:font>
      <x:b/>
      <x:sz val="14"/>
      <x:color rgb="FF102A43"/>
      <x:name val="Aptos"/>
    </x:font>
    <x:font>
      <x:b/>
      <x:sz val="12"/>
      <x:color rgb="FFFFFFFF"/>
      <x:name val="Aptos"/>
    </x:font>
    <x:font>
      <x:sz val="10"/>
      <x:color rgb="FF627D98"/>
      <x:name val="Aptos"/>
    </x:font>
    <x:font>
      <x:sz val="11"/>
      <x:color rgb="FF1F2933"/>
      <x:name val="Carlito"/>
    </x:font>
    <x:font>
      <x:sz val="11"/>
      <x:color rgb="FF9B2C2C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4F4"/>
      </x:patternFill>
    </x:fill>
    <x:fill>
      <x:patternFill patternType="solid">
        <x:fgColor rgb="FF176B87"/>
      </x:patternFill>
    </x:fill>
    <x:fill>
      <x:patternFill patternType="solid">
        <x:fgColor rgb="FFF26B5E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BFE3F2"/>
      </x:patternFill>
    </x:fill>
    <x:fill>
      <x:patternFill patternType="solid">
        <x:fgColor rgb="FFFDE2E1"/>
      </x:patternFill>
    </x:fill>
    <x:fill>
      <x:patternFill patternType="solid">
        <x:fgColor rgb="FFFCE1D2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top" wrapText="1"/>
    </x:xf>
    <x:xf numFmtId="0" fontId="13" fillId="3" borderId="3" xfId="0" applyNumberFormat="1" applyFont="1" applyFill="1" applyBorder="1" applyAlignment="1">
      <x:alignment horizontal="center" vertical="center" wrapText="1"/>
    </x:xf>
    <x:xf numFmtId="0" fontId="12" fillId="0" borderId="4" xfId="0" applyNumberFormat="1" applyFont="1" applyFill="1" applyBorder="1" applyAlignment="1">
      <x:alignment vertical="top" wrapText="1"/>
    </x:xf>
    <x:xf numFmtId="0" fontId="13" fillId="3" borderId="4" xfId="0" applyNumberFormat="1" applyFont="1" applyFill="1" applyBorder="1" applyAlignment="1">
      <x:alignment horizontal="center" vertical="center" wrapText="1"/>
    </x:xf>
    <x:xf numFmtId="0" fontId="12" fillId="0" borderId="5" xfId="0" applyNumberFormat="1" applyFont="1" applyFill="1" applyBorder="1" applyAlignment="1">
      <x:alignment vertical="top" wrapText="1"/>
    </x:xf>
    <x:xf numFmtId="0" fontId="13" fillId="3" borderId="5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/>
    </x:xf>
    <x:xf numFmtId="0" fontId="15" fillId="6" borderId="7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4" xfId="0" applyNumberFormat="1" applyFont="1" applyFill="1" applyBorder="1"/>
    <x:xf numFmtId="0" fontId="16" fillId="7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4" xfId="0" applyNumberFormat="1" applyFont="1" applyFill="1" applyBorder="1"/>
    <x:xf numFmtId="0" fontId="16" fillId="8" borderId="4" xfId="0" applyNumberFormat="1" applyFont="1" applyFill="1" applyBorder="1" applyAlignment="1">
      <x:alignment wrapText="1"/>
    </x:xf>
    <x:xf numFmtId="0" fontId="16" fillId="9" borderId="4" xfId="0" applyNumberFormat="1" applyFont="1" applyFill="1" applyBorder="1" applyAlignment="1">
      <x:alignment wrapText="1"/>
    </x:xf>
    <x:xf numFmtId="0" fontId="17" fillId="9" borderId="4" xfId="0" applyNumberFormat="1" applyFont="1" applyFill="1" applyBorder="1" applyAlignment="1">
      <x:alignment wrapText="1"/>
    </x:xf>
    <x:xf numFmtId="200" fontId="16" fillId="7" borderId="4" xfId="0" applyNumberFormat="1" applyFont="1" applyFill="1" applyBorder="1" applyAlignment="1">
      <x:alignment wrapText="1"/>
    </x:xf>
    <x:xf numFmtId="200" fontId="16" fillId="8" borderId="4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4" xfId="0" applyNumberFormat="1" applyFont="1" applyFill="1" applyBorder="1"/>
    <x:xf numFmtId="0" fontId="16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B2C2C"/>
      </x:font>
      <x:fill>
        <x:patternFill>
          <x:bgColor rgb="FFFDE2E1"/>
        </x:patternFill>
      </x:fill>
    </x:dxf>
    <x:dxf>
      <x:font>
        <x:b/>
        <x:color rgb="FF176B4D"/>
      </x:font>
      <x:fill>
        <x:patternFill>
          <x:bgColor rgb="FFDFF3E8"/>
        </x:patternFill>
      </x:fill>
    </x:dxf>
    <x:dxf>
      <x:font>
        <x:b/>
        <x:color rgb="FF7C5A00"/>
      </x:font>
      <x:fill>
        <x:patternFill>
          <x:bgColor rgb="FFFFF1C7"/>
        </x:patternFill>
      </x:fill>
    </x:dxf>
    <x:dxf>
      <x:font>
        <x:b/>
        <x:color rgb="FF922B21"/>
      </x:font>
      <x:fill>
        <x:patternFill>
          <x:bgColor rgb="FFFADBD8"/>
        </x:patternFill>
      </x:fill>
    </x:dxf>
    <x:dxf>
      <x:font>
        <x:b/>
        <x:color rgb="FF922B21"/>
      </x:font>
      <x:fill>
        <x:patternFill>
          <x:bgColor rgb="FFFADBD8"/>
        </x:patternFill>
      </x:fill>
    </x:dxf>
    <x:dxf>
      <x:font>
        <x:b/>
        <x:color rgb="FF176B4D"/>
      </x:font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9181516f14c3d" /><Relationship Type="http://schemas.openxmlformats.org/officeDocument/2006/relationships/theme" Target="/xl/theme/theme1.xml" Id="Rcf46230c4ce14db3" /><Relationship Type="http://schemas.openxmlformats.org/officeDocument/2006/relationships/sharedStrings" Target="/xl/sharedStrings.xml" Id="R4de51a8102e941b0" /><Relationship Type="http://schemas.openxmlformats.org/officeDocument/2006/relationships/worksheet" Target="/xl/worksheets/sheet1.xml" Id="Rf8ea33ce5d1c4875" /><Relationship Type="http://schemas.openxmlformats.org/officeDocument/2006/relationships/worksheet" Target="/xl/worksheets/sheet2.xml" Id="R218347a9a4ce4b36" /><Relationship Type="http://schemas.openxmlformats.org/officeDocument/2006/relationships/worksheet" Target="/xl/worksheets/sheet3.xml" Id="Ra5aed93ce89b4521" /><Relationship Type="http://schemas.openxmlformats.org/officeDocument/2006/relationships/worksheet" Target="/xl/worksheets/sheet4.xml" Id="Re6f121bba1ad469a" /><Relationship Type="http://schemas.openxmlformats.org/officeDocument/2006/relationships/worksheet" Target="/xl/worksheets/sheet5.xml" Id="R0f24e0d0a64f47fa" /><Relationship Type="http://schemas.openxmlformats.org/officeDocument/2006/relationships/worksheet" Target="/xl/worksheets/sheet6.xml" Id="R0618949d4d274095" /></Relationships>
</file>

<file path=xl/tables/table1.xml><?xml version="1.0" encoding="utf-8"?>
<x:table xmlns:x="http://schemas.openxmlformats.org/spreadsheetml/2006/main" id="1" name="BacklogTable" displayName="BacklogTable" ref="A4:L67" headerRowCount="1" totalsRowCount="0" totalsRowShown="0">
  <x:autoFilter ref="A4:L67"/>
  <x:tableColumns count="12">
    <x:tableColumn id="1" name="Story ID"/>
    <x:tableColumn id="2" name="Epic"/>
    <x:tableColumn id="3" name="Titel"/>
    <x:tableColumn id="4" name="Eienaar"/>
    <x:tableColumn id="5" name="Priority"/>
    <x:tableColumn id="6" name="Status"/>
    <x:tableColumn id="7" name="Sprint"/>
    <x:tableColumn id="8" name="Fase"/>
    <x:tableColumn id="9" name="Estimate"/>
    <x:tableColumn id="10" name="Depends On"/>
    <x:tableColumn id="11" name="Aanvaardingsbewys"/>
    <x:tableColumn id="12" name="Trace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csTable" displayName="EpicsTable" ref="A4:F12" headerRowCount="1" totalsRowCount="0" totalsRowShown="0">
  <x:tableColumns count="6">
    <x:tableColumn id="1" name="Epic"/>
    <x:tableColumn id="2" name="Naam"/>
    <x:tableColumn id="3" name="Stories"/>
    <x:tableColumn id="4" name="Must"/>
    <x:tableColumn id="5" name="Done"/>
    <x:tableColumn id="6" name="Primêre do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isksTable" displayName="RisksTable" ref="A4:G32" headerRowCount="1" totalsRowCount="0" totalsRowShown="0">
  <x:tableColumns count="7">
    <x:tableColumn id="1" name="ID"/>
    <x:tableColumn id="2" name="Risiko"/>
    <x:tableColumn id="3" name="Likelihood"/>
    <x:tableColumn id="4" name="Impact"/>
    <x:tableColumn id="5" name="Owner"/>
    <x:tableColumn id="6" name="Mitigation"/>
    <x:tableColumn id="7" name="Status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RolesTable" displayName="RolesTable" ref="A4:C16" headerRowCount="1" totalsRowCount="0" totalsRowShown="0">
  <x:tableColumns count="3">
    <x:tableColumn id="1" name="Rol"/>
    <x:tableColumn id="2" name="Verantwoordelikheid"/>
    <x:tableColumn id="3" name="Verpligte inset per story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D29" headerRowCount="1" totalsRowCount="0" totalsRowShown="0">
  <x:tableColumns count="4">
    <x:tableColumn id="1" name="Bron"/>
    <x:tableColumn id="2" name="Gebruik"/>
    <x:tableColumn id="3" name="Klas"/>
    <x:tableColumn id="4" name="URL / ligging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96d68be8d042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f659091200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3290166854d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9a1fadc3dd46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e7da3a386746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0" t="str">
        <x:v>MIDI Chip Platform - MVP Kanban</x:v>
      </x:c>
      <x:c r="B1" s="51"/>
      <x:c r="C1" s="51"/>
      <x:c r="D1" s="51"/>
      <x:c r="E1" s="51"/>
      <x:c r="F1" s="51"/>
      <x:c r="G1" s="51"/>
      <x:c r="H1" s="51"/>
    </x:row>
    <x:row r="2" ht="28" customHeight="1">
      <x:c r="A2" s="52" t="str">
        <x:v>Sprint 1 | scope v0.6.0 | runtime v0.4.0 | CHATOD-20260714-MCP-CP-MVP-001</x:v>
      </x:c>
      <x:c r="B2" s="51"/>
      <x:c r="C2" s="51"/>
      <x:c r="D2" s="51"/>
      <x:c r="E2" s="51"/>
      <x:c r="F2" s="51"/>
      <x:c r="G2" s="51"/>
      <x:c r="H2" s="51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 ht="28" customHeight="1">
      <x:c r="A4" s="53" t="str">
        <x:v>Metriek</x:v>
      </x:c>
      <x:c r="B4" s="54" t="str">
        <x:v>Waarde</x:v>
      </x:c>
      <x:c r="C4" s="51"/>
      <x:c r="D4" s="53" t="str">
        <x:v>MVP-besluithekke</x:v>
      </x:c>
      <x:c r="E4" s="55"/>
      <x:c r="F4" s="55"/>
      <x:c r="G4" s="55"/>
      <x:c r="H4" s="54"/>
    </x:row>
    <x:row r="5">
      <x:c r="A5" s="56" t="str">
        <x:v>Totale stories</x:v>
      </x:c>
      <x:c r="B5" s="57" t="n">
        <x:f>COUNTA('Backlog'!$A$5:$A$67)</x:f>
        <x:v>63</x:v>
      </x:c>
      <x:c r="C5" s="51"/>
      <x:c r="D5" s="56" t="str">
        <x:v>1. Veilige minimale USB-MIDI boot en herstel</x:v>
      </x:c>
      <x:c r="E5" s="56"/>
      <x:c r="F5" s="56"/>
      <x:c r="G5" s="56"/>
      <x:c r="H5" s="56"/>
    </x:row>
    <x:row r="6">
      <x:c r="A6" s="58" t="str">
        <x:v>Done</x:v>
      </x:c>
      <x:c r="B6" s="59" t="n">
        <x:f>COUNTIF('Backlog'!$F$5:$F$67,"Done")</x:f>
        <x:v>3</x:v>
      </x:c>
      <x:c r="C6" s="51"/>
      <x:c r="D6" s="58" t="str">
        <x:v>2. MAX98357 mono-I2S eerste; PWM fallback</x:v>
      </x:c>
      <x:c r="E6" s="58"/>
      <x:c r="F6" s="58"/>
      <x:c r="G6" s="58"/>
      <x:c r="H6" s="58"/>
    </x:row>
    <x:row r="7">
      <x:c r="A7" s="58" t="str">
        <x:v>In Progress</x:v>
      </x:c>
      <x:c r="B7" s="59" t="n">
        <x:f>COUNTIF('Backlog'!$F$5:$F$67,"In Progress")</x:f>
        <x:v>0</x:v>
      </x:c>
      <x:c r="C7" s="51"/>
      <x:c r="D7" s="58" t="str">
        <x:v>3. D1-basiskern voor SN76489; SID en OPL daarna</x:v>
      </x:c>
      <x:c r="E7" s="58"/>
      <x:c r="F7" s="58"/>
      <x:c r="G7" s="58"/>
      <x:c r="H7" s="58"/>
    </x:row>
    <x:row r="8">
      <x:c r="A8" s="58" t="str">
        <x:v>MVP-gemerk</x:v>
      </x:c>
      <x:c r="B8" s="59" t="n">
        <x:f>COUNTIF('Backlog'!$E$5:$E$67,"Must")</x:f>
        <x:v>47</x:v>
      </x:c>
      <x:c r="C8" s="51"/>
      <x:c r="D8" s="60" t="str">
        <x:v>4. BLE op tweede bord; S2 faal veilig; multi-core na resource gate</x:v>
      </x:c>
      <x:c r="E8" s="60"/>
      <x:c r="F8" s="60"/>
      <x:c r="G8" s="60"/>
      <x:c r="H8" s="60"/>
    </x:row>
    <x:row r="9">
      <x:c r="A9" s="58" t="str">
        <x:v>Oop risiko’s</x:v>
      </x:c>
      <x:c r="B9" s="59" t="n">
        <x:f>COUNTA('Risks'!A5:A32)</x:f>
        <x:v>28</x:v>
      </x:c>
      <x:c r="C9" s="51"/>
      <x:c r="D9" s="51" t="str">
        <x:v>5. Station join met beveiligde AP-fallback; mobile UI en logging binne begroting</x:v>
      </x:c>
      <x:c r="E9" s="51"/>
      <x:c r="F9" s="51"/>
      <x:c r="G9" s="51"/>
      <x:c r="H9" s="51"/>
    </x:row>
    <x:row r="10">
      <x:c r="A10" s="60" t="str">
        <x:v>Virtuele rolle</x:v>
      </x:c>
      <x:c r="B10" s="61" t="n">
        <x:f>COUNTA('Team RACI'!$A$5:$A$16)</x:f>
        <x:v>12</x:v>
      </x:c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1"/>
      <x:c r="B12" s="51"/>
      <x:c r="C12" s="51"/>
      <x:c r="D12" s="51"/>
      <x:c r="E12" s="51"/>
      <x:c r="F12" s="51"/>
      <x:c r="G12" s="51"/>
      <x:c r="H12" s="51"/>
    </x:row>
    <x:row r="13" ht="30" customHeight="1">
      <x:c r="A13" s="62" t="str">
        <x:v>Aktiewe story: MCP-US-004 Board Capability Discovery - IMPEDIMENT</x:v>
      </x:c>
      <x:c r="B13" s="51"/>
      <x:c r="C13" s="51"/>
      <x:c r="D13" s="51"/>
      <x:c r="E13" s="51"/>
      <x:c r="F13" s="51"/>
      <x:c r="G13" s="51"/>
      <x:c r="H13" s="51"/>
    </x:row>
    <x:row r="14">
      <x:c r="A14" s="51"/>
      <x:c r="B14" s="51"/>
      <x:c r="C14" s="51"/>
      <x:c r="D14" s="51"/>
      <x:c r="E14" s="51"/>
      <x:c r="F14" s="51"/>
      <x:c r="G14" s="51"/>
      <x:c r="H14" s="51"/>
    </x:row>
    <x:row r="15" ht="58" customHeight="1">
      <x:c r="A15" s="63" t="str">
        <x:v>Product Owner note: hierdie workbook is die redigeerbare Kanban-artefak. Die Markdown story-katalogus bly die leesbare repository-weergawe. Werk begin eers ná story-plan-goedkeuring.</x:v>
      </x:c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A13:H13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6" hidden="0" customWidth="1"/>
    <x:col min="4" max="4" width="22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0" hidden="0" customWidth="1"/>
    <x:col min="10" max="10" width="16" hidden="0" customWidth="1"/>
    <x:col min="11" max="11" width="52" hidden="0" customWidth="1"/>
    <x:col min="12" max="12" width="38" hidden="0" customWidth="1"/>
  </x:cols>
  <x:sheetData>
    <x:row r="1" ht="32" customHeight="1">
      <x:c r="A1" s="3" t="str">
        <x:v>Geordende user-story backlog</x:v>
      </x:c>
    </x:row>
    <x:row r="2" ht="28" customHeight="1">
      <x:c r="A2" s="7" t="str">
        <x:v>Bron: docs/user_stories_v0.1.0.md | 63 stories | Redigeer Status en Priority via keuselyste</x:v>
      </x:c>
    </x:row>
    <x:row r="4" ht="28" customHeight="1">
      <x:c r="A4" s="14" t="str">
        <x:v>Story ID</x:v>
      </x:c>
      <x:c r="B4" s="40" t="str">
        <x:v>Epic</x:v>
      </x:c>
      <x:c r="C4" s="40" t="str">
        <x:v>Titel</x:v>
      </x:c>
      <x:c r="D4" s="40" t="str">
        <x:v>Eienaar</x:v>
      </x:c>
      <x:c r="E4" s="40" t="str">
        <x:v>Priority</x:v>
      </x:c>
      <x:c r="F4" s="40" t="str">
        <x:v>Status</x:v>
      </x:c>
      <x:c r="G4" s="40" t="str">
        <x:v>Sprint</x:v>
      </x:c>
      <x:c r="H4" s="40" t="str">
        <x:v>Fase</x:v>
      </x:c>
      <x:c r="I4" s="40" t="str">
        <x:v>Estimate</x:v>
      </x:c>
      <x:c r="J4" s="40" t="str">
        <x:v>Depends On</x:v>
      </x:c>
      <x:c r="K4" s="40" t="str">
        <x:v>Aanvaardingsbewys</x:v>
      </x:c>
      <x:c r="L4" s="15" t="str">
        <x:v>Traceability</x:v>
      </x:c>
    </x:row>
    <x:row r="5" ht="38" customHeight="1">
      <x:c r="A5" s="23" t="str">
        <x:v>MCP-US-001</x:v>
      </x:c>
      <x:c r="B5" s="23" t="str">
        <x:v>MCP-EPIC-001</x:v>
      </x:c>
      <x:c r="C5" s="23" t="str">
        <x:v>Device And Source Baseline Inventory</x:v>
      </x:c>
      <x:c r="D5" s="23" t="str">
        <x:v>Solution Architect</x:v>
      </x:c>
      <x:c r="E5" s="23" t="str">
        <x:v>Should</x:v>
      </x:c>
      <x:c r="F5" s="23" t="str">
        <x:v>Done</x:v>
      </x:c>
      <x:c r="G5" s="23" t="str">
        <x:v>Sprint 0</x:v>
      </x:c>
      <x:c r="H5" s="23" t="str">
        <x:v>Done</x:v>
      </x:c>
      <x:c r="I5" s="64" t="n">
        <x:v>3</x:v>
      </x:c>
      <x:c r="J5" s="23" t="str">
        <x:v>-</x:v>
      </x:c>
      <x:c r="K5" s="23" t="str">
        <x:v>Bord, bronne, rugsteun, risiko’s en hergebruik is gedokumenteer</x:v>
      </x:c>
      <x:c r="L5" s="23" t="str">
        <x:v>CHATOD-20260714-MCP-CP-MVP-001 / MCP-US-001</x:v>
      </x:c>
    </x:row>
    <x:row r="6" ht="38" customHeight="1">
      <x:c r="A6" s="24" t="str">
        <x:v>MCP-US-002</x:v>
      </x:c>
      <x:c r="B6" s="24" t="str">
        <x:v>MCP-EPIC-001</x:v>
      </x:c>
      <x:c r="C6" s="24" t="str">
        <x:v>Clean Repository And Project Skeleton</x:v>
      </x:c>
      <x:c r="D6" s="24" t="str">
        <x:v>Solution Architect</x:v>
      </x:c>
      <x:c r="E6" s="24" t="str">
        <x:v>Must</x:v>
      </x:c>
      <x:c r="F6" s="24" t="str">
        <x:v>Done</x:v>
      </x:c>
      <x:c r="G6" s="24" t="str">
        <x:v>Sprint 1</x:v>
      </x:c>
      <x:c r="H6" s="24" t="str">
        <x:v>Done</x:v>
      </x:c>
      <x:c r="I6" s="65" t="n">
        <x:v>5</x:v>
      </x:c>
      <x:c r="J6" s="24" t="str">
        <x:v>US-001</x:v>
      </x:c>
      <x:c r="K6" s="24" t="str">
        <x:v>Klasgebaseerde poorte, host-toetse en headers bestaan; geen toestel-I/O nie</x:v>
      </x:c>
      <x:c r="L6" s="24" t="str">
        <x:v>CHATOD-20260714-MCP-CP-MVP-001 / MCP-US-002</x:v>
      </x:c>
    </x:row>
    <x:row r="7" ht="38" customHeight="1">
      <x:c r="A7" s="24" t="str">
        <x:v>MCP-US-003</x:v>
      </x:c>
      <x:c r="B7" s="24" t="str">
        <x:v>MCP-EPIC-001</x:v>
      </x:c>
      <x:c r="C7" s="24" t="str">
        <x:v>Minimal Safe Boot And USB Profile</x:v>
      </x:c>
      <x:c r="D7" s="24" t="str">
        <x:v>Solution Architect</x:v>
      </x:c>
      <x:c r="E7" s="24" t="str">
        <x:v>Must</x:v>
      </x:c>
      <x:c r="F7" s="24" t="str">
        <x:v>Done</x:v>
      </x:c>
      <x:c r="G7" s="24" t="str">
        <x:v>Sprint 1</x:v>
      </x:c>
      <x:c r="H7" s="24" t="str">
        <x:v>Done</x:v>
      </x:c>
      <x:c r="I7" s="65" t="n">
        <x:v>8</x:v>
      </x:c>
      <x:c r="J7" s="24" t="str">
        <x:v>US-002</x:v>
      </x:c>
      <x:c r="K7" s="24" t="str">
        <x:v>USB-MIDI begin voor runtime; CIRCUITPY/REPL herstel en drieledige device-proof het op ESP32-S2 geslaag</x:v>
      </x:c>
      <x:c r="L7" s="24" t="str">
        <x:v>CHATOD-20260714-MCP-CP-MVP-001 / MCP-US-003 / commit 3994f46</x:v>
      </x:c>
    </x:row>
    <x:row r="8" ht="38" customHeight="1">
      <x:c r="A8" s="24" t="str">
        <x:v>MCP-US-004</x:v>
      </x:c>
      <x:c r="B8" s="24" t="str">
        <x:v>MCP-EPIC-001</x:v>
      </x:c>
      <x:c r="C8" s="24" t="str">
        <x:v>Board Capability Discovery</x:v>
      </x:c>
      <x:c r="D8" s="24" t="str">
        <x:v>Solution Architect</x:v>
      </x:c>
      <x:c r="E8" s="24" t="str">
        <x:v>Must</x:v>
      </x:c>
      <x:c r="F8" s="24" t="str">
        <x:v>Impediment</x:v>
      </x:c>
      <x:c r="G8" s="24" t="str">
        <x:v>Sprint 1</x:v>
      </x:c>
      <x:c r="H8" s="24" t="str">
        <x:v>In Review/MVP</x:v>
      </x:c>
      <x:c r="I8" s="65" t="n">
        <x:v>5</x:v>
      </x:c>
      <x:c r="J8" s="24" t="str">
        <x:v>US-002</x:v>
      </x:c>
      <x:c r="K8" s="24" t="str">
        <x:v>Host en sagte device-run rapporteer IO3/5/7, modules, heap en I2S-backend; finale hard-reset/remount-HIL wag</x:v>
      </x:c>
      <x:c r="L8" s="24" t="str">
        <x:v>CHATOD-20260714-MCP-CP-MVP-001 / MCP-US-004 / v0.4.0</x:v>
      </x:c>
    </x:row>
    <x:row r="9" ht="38" customHeight="1">
      <x:c r="A9" s="24" t="str">
        <x:v>MCP-US-005</x:v>
      </x:c>
      <x:c r="B9" s="24" t="str">
        <x:v>MCP-EPIC-001</x:v>
      </x:c>
      <x:c r="C9" s="24" t="str">
        <x:v>Configuration And Secret Boundary</x:v>
      </x:c>
      <x:c r="D9" s="24" t="str">
        <x:v>Solution Architect</x:v>
      </x:c>
      <x:c r="E9" s="24" t="str">
        <x:v>Must</x:v>
      </x:c>
      <x:c r="F9" s="24" t="str">
        <x:v>Backlog</x:v>
      </x:c>
      <x:c r="G9" s="24" t="str">
        <x:v>Sprint 1</x:v>
      </x:c>
      <x:c r="H9" s="24" t="str">
        <x:v>MVP</x:v>
      </x:c>
      <x:c r="I9" s="65" t="n">
        <x:v>5</x:v>
      </x:c>
      <x:c r="J9" s="24" t="str">
        <x:v>US-003</x:v>
      </x:c>
      <x:c r="K9" s="24" t="str">
        <x:v>Publieke verstekke en private `settings.toml` werk; geheime-lektoets is groen</x:v>
      </x:c>
      <x:c r="L9" s="24" t="str">
        <x:v>CHATOD-20260714-MCP-CP-MVP-001 / MCP-US-005</x:v>
      </x:c>
    </x:row>
    <x:row r="10" ht="38" customHeight="1">
      <x:c r="A10" s="24" t="str">
        <x:v>MCP-US-006</x:v>
      </x:c>
      <x:c r="B10" s="24" t="str">
        <x:v>MCP-EPIC-002</x:v>
      </x:c>
      <x:c r="C10" s="24" t="str">
        <x:v>Portable NoteEvent And ControlEvent Model</x:v>
      </x:c>
      <x:c r="D10" s="24" t="str">
        <x:v>MIDI Engineer</x:v>
      </x:c>
      <x:c r="E10" s="24" t="str">
        <x:v>Must</x:v>
      </x:c>
      <x:c r="F10" s="24" t="str">
        <x:v>Backlog</x:v>
      </x:c>
      <x:c r="G10" s="24" t="str">
        <x:v>Sprint 2</x:v>
      </x:c>
      <x:c r="H10" s="24" t="str">
        <x:v>MVP</x:v>
      </x:c>
      <x:c r="I10" s="65" t="n">
        <x:v>5</x:v>
      </x:c>
      <x:c r="J10" s="24" t="str">
        <x:v>US-002</x:v>
      </x:c>
      <x:c r="K10" s="24" t="str">
        <x:v>Note, CC, bend en klokboodskappe het platform-onafhanklike klasse</x:v>
      </x:c>
      <x:c r="L10" s="24" t="str">
        <x:v>CHATOD-20260714-MCP-CP-MVP-001 / MCP-US-006</x:v>
      </x:c>
    </x:row>
    <x:row r="11" ht="38" customHeight="1">
      <x:c r="A11" s="24" t="str">
        <x:v>MCP-US-007</x:v>
      </x:c>
      <x:c r="B11" s="24" t="str">
        <x:v>MCP-EPIC-002</x:v>
      </x:c>
      <x:c r="C11" s="24" t="str">
        <x:v>USB MIDI Receive Loop</x:v>
      </x:c>
      <x:c r="D11" s="24" t="str">
        <x:v>MIDI Engineer</x:v>
      </x:c>
      <x:c r="E11" s="24" t="str">
        <x:v>Must</x:v>
      </x:c>
      <x:c r="F11" s="24" t="str">
        <x:v>Backlog</x:v>
      </x:c>
      <x:c r="G11" s="24" t="str">
        <x:v>Sprint 2</x:v>
      </x:c>
      <x:c r="H11" s="24" t="str">
        <x:v>MVP</x:v>
      </x:c>
      <x:c r="I11" s="65" t="n">
        <x:v>5</x:v>
      </x:c>
      <x:c r="J11" s="24" t="str">
        <x:v>US-003, US-006</x:v>
      </x:c>
      <x:c r="K11" s="24" t="str">
        <x:v>Enige klas-kompatibele bron kan via 'n rekenaar/DAW of eksterne USB-host Note On/Off stuur sonder toestelnaamkonstante</x:v>
      </x:c>
      <x:c r="L11" s="24" t="str">
        <x:v>CHATOD-20260714-MCP-CP-MVP-001 / MCP-US-007</x:v>
      </x:c>
    </x:row>
    <x:row r="12" ht="38" customHeight="1">
      <x:c r="A12" s="24" t="str">
        <x:v>MCP-US-008</x:v>
      </x:c>
      <x:c r="B12" s="24" t="str">
        <x:v>MCP-EPIC-002</x:v>
      </x:c>
      <x:c r="C12" s="24" t="str">
        <x:v>MIDI Channel Router</x:v>
      </x:c>
      <x:c r="D12" s="24" t="str">
        <x:v>MIDI Engineer</x:v>
      </x:c>
      <x:c r="E12" s="24" t="str">
        <x:v>Must</x:v>
      </x:c>
      <x:c r="F12" s="24" t="str">
        <x:v>Backlog</x:v>
      </x:c>
      <x:c r="G12" s="24" t="str">
        <x:v>Sprint 2</x:v>
      </x:c>
      <x:c r="H12" s="24" t="str">
        <x:v>MVP</x:v>
      </x:c>
      <x:c r="I12" s="65" t="n">
        <x:v>5</x:v>
      </x:c>
      <x:c r="J12" s="24" t="str">
        <x:v>US-007</x:v>
      </x:c>
      <x:c r="K12" s="24" t="str">
        <x:v>Kanaal 1-16 word konfigureerbaar na ’n kerninstansie gerouteer</x:v>
      </x:c>
      <x:c r="L12" s="24" t="str">
        <x:v>CHATOD-20260714-MCP-CP-MVP-001 / MCP-US-008</x:v>
      </x:c>
    </x:row>
    <x:row r="13" ht="38" customHeight="1">
      <x:c r="A13" s="24" t="str">
        <x:v>MCP-US-009</x:v>
      </x:c>
      <x:c r="B13" s="24" t="str">
        <x:v>MCP-EPIC-002</x:v>
      </x:c>
      <x:c r="C13" s="24" t="str">
        <x:v>Velocity And Note-Off Semantics</x:v>
      </x:c>
      <x:c r="D13" s="24" t="str">
        <x:v>MIDI Engineer</x:v>
      </x:c>
      <x:c r="E13" s="24" t="str">
        <x:v>Must</x:v>
      </x:c>
      <x:c r="F13" s="24" t="str">
        <x:v>Backlog</x:v>
      </x:c>
      <x:c r="G13" s="24" t="str">
        <x:v>Sprint 2</x:v>
      </x:c>
      <x:c r="H13" s="24" t="str">
        <x:v>MVP</x:v>
      </x:c>
      <x:c r="I13" s="65" t="n">
        <x:v>5</x:v>
      </x:c>
      <x:c r="J13" s="24" t="str">
        <x:v>US-007</x:v>
      </x:c>
      <x:c r="K13" s="24" t="str">
        <x:v>Velocity nul sluit note; geen hangende stem ná All Notes Off nie</x:v>
      </x:c>
      <x:c r="L13" s="24" t="str">
        <x:v>CHATOD-20260714-MCP-CP-MVP-001 / MCP-US-009</x:v>
      </x:c>
    </x:row>
    <x:row r="14" ht="38" customHeight="1">
      <x:c r="A14" s="24" t="str">
        <x:v>MCP-US-010</x:v>
      </x:c>
      <x:c r="B14" s="24" t="str">
        <x:v>MCP-EPIC-002</x:v>
      </x:c>
      <x:c r="C14" s="24" t="str">
        <x:v>Pitch Bend And CC1 Modulation</x:v>
      </x:c>
      <x:c r="D14" s="24" t="str">
        <x:v>MIDI Engineer</x:v>
      </x:c>
      <x:c r="E14" s="24" t="str">
        <x:v>Must</x:v>
      </x:c>
      <x:c r="F14" s="24" t="str">
        <x:v>Backlog</x:v>
      </x:c>
      <x:c r="G14" s="24" t="str">
        <x:v>Sprint 2</x:v>
      </x:c>
      <x:c r="H14" s="24" t="str">
        <x:v>MVP</x:v>
      </x:c>
      <x:c r="I14" s="65" t="n">
        <x:v>5</x:v>
      </x:c>
      <x:c r="J14" s="24" t="str">
        <x:v>US-007</x:v>
      </x:c>
      <x:c r="K14" s="24" t="str">
        <x:v>Bend en vibrato word hoorbaar en diagnosties gemeet</x:v>
      </x:c>
      <x:c r="L14" s="24" t="str">
        <x:v>CHATOD-20260714-MCP-CP-MVP-001 / MCP-US-010</x:v>
      </x:c>
    </x:row>
    <x:row r="15" ht="38" customHeight="1">
      <x:c r="A15" s="24" t="str">
        <x:v>MCP-US-011</x:v>
      </x:c>
      <x:c r="B15" s="24" t="str">
        <x:v>MCP-EPIC-002</x:v>
      </x:c>
      <x:c r="C15" s="24" t="str">
        <x:v>Internal 120 BPM Clock</x:v>
      </x:c>
      <x:c r="D15" s="24" t="str">
        <x:v>MIDI Engineer</x:v>
      </x:c>
      <x:c r="E15" s="24" t="str">
        <x:v>Must</x:v>
      </x:c>
      <x:c r="F15" s="24" t="str">
        <x:v>Backlog</x:v>
      </x:c>
      <x:c r="G15" s="24" t="str">
        <x:v>Sprint 3</x:v>
      </x:c>
      <x:c r="H15" s="24" t="str">
        <x:v>MVP</x:v>
      </x:c>
      <x:c r="I15" s="65" t="n">
        <x:v>5</x:v>
      </x:c>
      <x:c r="J15" s="24" t="str">
        <x:v>US-002</x:v>
      </x:c>
      <x:c r="K15" s="24" t="str">
        <x:v>Interne klok lewer stabiele 24 PPQN-afgeleides en BPM-metriek</x:v>
      </x:c>
      <x:c r="L15" s="24" t="str">
        <x:v>CHATOD-20260714-MCP-CP-MVP-001 / MCP-US-011</x:v>
      </x:c>
    </x:row>
    <x:row r="16" ht="38" customHeight="1">
      <x:c r="A16" s="24" t="str">
        <x:v>MCP-US-012</x:v>
      </x:c>
      <x:c r="B16" s="24" t="str">
        <x:v>MCP-EPIC-002</x:v>
      </x:c>
      <x:c r="C16" s="24" t="str">
        <x:v>External MIDI Clock Sync</x:v>
      </x:c>
      <x:c r="D16" s="24" t="str">
        <x:v>MIDI Engineer</x:v>
      </x:c>
      <x:c r="E16" s="24" t="str">
        <x:v>Must</x:v>
      </x:c>
      <x:c r="F16" s="24" t="str">
        <x:v>Backlog</x:v>
      </x:c>
      <x:c r="G16" s="24" t="str">
        <x:v>Sprint 3</x:v>
      </x:c>
      <x:c r="H16" s="24" t="str">
        <x:v>MVP</x:v>
      </x:c>
      <x:c r="I16" s="65" t="n">
        <x:v>5</x:v>
      </x:c>
      <x:c r="J16" s="24" t="str">
        <x:v>US-007, US-011</x:v>
      </x:c>
      <x:c r="K16" s="24" t="str">
        <x:v>USB of adapter-klok kan Start/Stop/Continue en tempo beheer</x:v>
      </x:c>
      <x:c r="L16" s="24" t="str">
        <x:v>CHATOD-20260714-MCP-CP-MVP-001 / MCP-US-012</x:v>
      </x:c>
    </x:row>
    <x:row r="17" ht="38" customHeight="1">
      <x:c r="A17" s="24" t="str">
        <x:v>MCP-US-013</x:v>
      </x:c>
      <x:c r="B17" s="24" t="str">
        <x:v>MCP-EPIC-002</x:v>
      </x:c>
      <x:c r="C17" s="24" t="str">
        <x:v>Standalone DIN UART MIDI Transport</x:v>
      </x:c>
      <x:c r="D17" s="24" t="str">
        <x:v>MIDI Engineer</x:v>
      </x:c>
      <x:c r="E17" s="24" t="str">
        <x:v>Must</x:v>
      </x:c>
      <x:c r="F17" s="24" t="str">
        <x:v>Backlog</x:v>
      </x:c>
      <x:c r="G17" s="24" t="str">
        <x:v>Sprint 3</x:v>
      </x:c>
      <x:c r="H17" s="24" t="str">
        <x:v>MVP</x:v>
      </x:c>
      <x:c r="I17" s="65" t="n">
        <x:v>5</x:v>
      </x:c>
      <x:c r="J17" s="24" t="str">
        <x:v>US-006</x:v>
      </x:c>
      <x:c r="K17" s="24" t="str">
        <x:v>'n Eksterne USB-host se 5-pen DIN/UART-boodskappe gebruik dieselfde MidiInputPort en eventmodel</x:v>
      </x:c>
      <x:c r="L17" s="24" t="str">
        <x:v>CHATOD-20260714-MCP-CP-MVP-001 / MIDI-TRANSPORT-MULTICORE-AMENDMENT-001 / MCP-US-013</x:v>
      </x:c>
    </x:row>
    <x:row r="18" ht="38" customHeight="1">
      <x:c r="A18" s="24" t="str">
        <x:v>MCP-US-014</x:v>
      </x:c>
      <x:c r="B18" s="24" t="str">
        <x:v>MCP-EPIC-003</x:v>
      </x:c>
      <x:c r="C18" s="24" t="str">
        <x:v>AudioOutput Port And Null Backend</x:v>
      </x:c>
      <x:c r="D18" s="24" t="str">
        <x:v>DSP/Chip Engineer</x:v>
      </x:c>
      <x:c r="E18" s="24" t="str">
        <x:v>Must</x:v>
      </x:c>
      <x:c r="F18" s="24" t="str">
        <x:v>Backlog</x:v>
      </x:c>
      <x:c r="G18" s="24" t="str">
        <x:v>Sprint 3</x:v>
      </x:c>
      <x:c r="H18" s="24" t="str">
        <x:v>MVP</x:v>
      </x:c>
      <x:c r="I18" s="65" t="n">
        <x:v>5</x:v>
      </x:c>
      <x:c r="J18" s="24" t="str">
        <x:v>US-002</x:v>
      </x:c>
      <x:c r="K18" s="24" t="str">
        <x:v>Kernlogika kan sonder fisiese klank host-getoets word</x:v>
      </x:c>
      <x:c r="L18" s="24" t="str">
        <x:v>CHATOD-20260714-MCP-CP-MVP-001 / MCP-US-014</x:v>
      </x:c>
    </x:row>
    <x:row r="19" ht="38" customHeight="1">
      <x:c r="A19" s="24" t="str">
        <x:v>MCP-US-015</x:v>
      </x:c>
      <x:c r="B19" s="24" t="str">
        <x:v>MCP-EPIC-003</x:v>
      </x:c>
      <x:c r="C19" s="24" t="str">
        <x:v>PWM Diagnostic Fallback</x:v>
      </x:c>
      <x:c r="D19" s="24" t="str">
        <x:v>DSP/Chip Engineer</x:v>
      </x:c>
      <x:c r="E19" s="24" t="str">
        <x:v>Must</x:v>
      </x:c>
      <x:c r="F19" s="24" t="str">
        <x:v>Backlog</x:v>
      </x:c>
      <x:c r="G19" s="24" t="str">
        <x:v>Sprint 4</x:v>
      </x:c>
      <x:c r="H19" s="24" t="str">
        <x:v>MVP</x:v>
      </x:c>
      <x:c r="I19" s="65" t="n">
        <x:v>3</x:v>
      </x:c>
      <x:c r="J19" s="24" t="str">
        <x:v>US-004, US-014</x:v>
      </x:c>
      <x:c r="K19" s="24" t="str">
        <x:v>Twee gekose penne lewer meetbare links/regs PWM-klank</x:v>
      </x:c>
      <x:c r="L19" s="24" t="str">
        <x:v>CHATOD-20260714-MCP-CP-MVP-001 / MCP-US-015</x:v>
      </x:c>
    </x:row>
    <x:row r="20" ht="38" customHeight="1">
      <x:c r="A20" s="24" t="str">
        <x:v>MCP-US-016</x:v>
      </x:c>
      <x:c r="B20" s="24" t="str">
        <x:v>MCP-EPIC-003</x:v>
      </x:c>
      <x:c r="C20" s="24" t="str">
        <x:v>MAX98357 Mono I2S Audible Diagnostic</x:v>
      </x:c>
      <x:c r="D20" s="24" t="str">
        <x:v>DSP/Chip Engineer</x:v>
      </x:c>
      <x:c r="E20" s="24" t="str">
        <x:v>Must</x:v>
      </x:c>
      <x:c r="F20" s="24" t="str">
        <x:v>Backlog</x:v>
      </x:c>
      <x:c r="G20" s="24" t="str">
        <x:v>Sprint 3</x:v>
      </x:c>
      <x:c r="H20" s="24" t="str">
        <x:v>MVP</x:v>
      </x:c>
      <x:c r="I20" s="65" t="n">
        <x:v>5</x:v>
      </x:c>
      <x:c r="J20" s="24" t="str">
        <x:v>US-004, US-014</x:v>
      </x:c>
      <x:c r="K20" s="24" t="str">
        <x:v>Ondersteuning, penne, DAC, RAM, latensie en kwaliteit is gemeet</x:v>
      </x:c>
      <x:c r="L20" s="24" t="str">
        <x:v>CHATOD-20260714-MCP-CP-MVP-001 / MCP-US-016</x:v>
      </x:c>
    </x:row>
    <x:row r="21" ht="38" customHeight="1">
      <x:c r="A21" s="24" t="str">
        <x:v>MCP-US-017</x:v>
      </x:c>
      <x:c r="B21" s="24" t="str">
        <x:v>MCP-EPIC-003</x:v>
      </x:c>
      <x:c r="C21" s="24" t="str">
        <x:v>SN76489-Lite Three-Voice Core</x:v>
      </x:c>
      <x:c r="D21" s="24" t="str">
        <x:v>DSP/Chip Engineer</x:v>
      </x:c>
      <x:c r="E21" s="24" t="str">
        <x:v>Must</x:v>
      </x:c>
      <x:c r="F21" s="24" t="str">
        <x:v>Backlog</x:v>
      </x:c>
      <x:c r="G21" s="24" t="str">
        <x:v>Sprint 3</x:v>
      </x:c>
      <x:c r="H21" s="24" t="str">
        <x:v>MVP</x:v>
      </x:c>
      <x:c r="I21" s="65" t="n">
        <x:v>5</x:v>
      </x:c>
      <x:c r="J21" s="24" t="str">
        <x:v>US-063</x:v>
      </x:c>
      <x:c r="K21" s="24" t="str">
        <x:v>Tweede musikale kern: drie toonstemme speel onafhanklik met gedokumenteerde akkuraatheid</x:v>
      </x:c>
      <x:c r="L21" s="24" t="str">
        <x:v>CHATOD-20260714-MCP-CP-MVP-001 / MCP-US-017</x:v>
      </x:c>
    </x:row>
    <x:row r="22" ht="38" customHeight="1">
      <x:c r="A22" s="24" t="str">
        <x:v>MCP-US-018</x:v>
      </x:c>
      <x:c r="B22" s="24" t="str">
        <x:v>MCP-EPIC-003</x:v>
      </x:c>
      <x:c r="C22" s="24" t="str">
        <x:v>Voice Allocation And Stealing</x:v>
      </x:c>
      <x:c r="D22" s="24" t="str">
        <x:v>DSP/Chip Engineer</x:v>
      </x:c>
      <x:c r="E22" s="24" t="str">
        <x:v>Must</x:v>
      </x:c>
      <x:c r="F22" s="24" t="str">
        <x:v>Backlog</x:v>
      </x:c>
      <x:c r="G22" s="24" t="str">
        <x:v>Sprint 4</x:v>
      </x:c>
      <x:c r="H22" s="24" t="str">
        <x:v>MVP</x:v>
      </x:c>
      <x:c r="I22" s="65" t="n">
        <x:v>5</x:v>
      </x:c>
      <x:c r="J22" s="24" t="str">
        <x:v>US-017</x:v>
      </x:c>
      <x:c r="K22" s="24" t="str">
        <x:v>Vierde noot volg ’n toetsbare steal-policy sonder vasloop</x:v>
      </x:c>
      <x:c r="L22" s="24" t="str">
        <x:v>CHATOD-20260714-MCP-CP-MVP-001 / MCP-US-018</x:v>
      </x:c>
    </x:row>
    <x:row r="23" ht="38" customHeight="1">
      <x:c r="A23" s="24" t="str">
        <x:v>MCP-US-019</x:v>
      </x:c>
      <x:c r="B23" s="24" t="str">
        <x:v>MCP-EPIC-003</x:v>
      </x:c>
      <x:c r="C23" s="24" t="str">
        <x:v>Per-Voice Left Right Stereo Routing</x:v>
      </x:c>
      <x:c r="D23" s="24" t="str">
        <x:v>DSP/Chip Engineer</x:v>
      </x:c>
      <x:c r="E23" s="24" t="str">
        <x:v>Must</x:v>
      </x:c>
      <x:c r="F23" s="24" t="str">
        <x:v>Backlog</x:v>
      </x:c>
      <x:c r="G23" s="24" t="str">
        <x:v>Sprint 4</x:v>
      </x:c>
      <x:c r="H23" s="24" t="str">
        <x:v>MVP</x:v>
      </x:c>
      <x:c r="I23" s="65" t="n">
        <x:v>5</x:v>
      </x:c>
      <x:c r="J23" s="24" t="str">
        <x:v>US-015, US-017</x:v>
      </x:c>
      <x:c r="K23" s="24" t="str">
        <x:v>Elke stem kan links, regs of stereo gemonitor word</x:v>
      </x:c>
      <x:c r="L23" s="24" t="str">
        <x:v>CHATOD-20260714-MCP-CP-MVP-001 / MCP-US-019</x:v>
      </x:c>
    </x:row>
    <x:row r="24" ht="38" customHeight="1">
      <x:c r="A24" s="24" t="str">
        <x:v>MCP-US-020</x:v>
      </x:c>
      <x:c r="B24" s="24" t="str">
        <x:v>MCP-EPIC-003</x:v>
      </x:c>
      <x:c r="C24" s="24" t="str">
        <x:v>Optional G-C-D Startup Test</x:v>
      </x:c>
      <x:c r="D24" s="24" t="str">
        <x:v>DSP/Chip Engineer</x:v>
      </x:c>
      <x:c r="E24" s="24" t="str">
        <x:v>Must</x:v>
      </x:c>
      <x:c r="F24" s="24" t="str">
        <x:v>Backlog</x:v>
      </x:c>
      <x:c r="G24" s="24" t="str">
        <x:v>Sprint 4</x:v>
      </x:c>
      <x:c r="H24" s="24" t="str">
        <x:v>MVP</x:v>
      </x:c>
      <x:c r="I24" s="65" t="n">
        <x:v>5</x:v>
      </x:c>
      <x:c r="J24" s="24" t="str">
        <x:v>US-016, US-063</x:v>
      </x:c>
      <x:c r="K24" s="24" t="str">
        <x:v>Opsionele sestiendenootreeks bewys die klankpad by start</x:v>
      </x:c>
      <x:c r="L24" s="24" t="str">
        <x:v>CHATOD-20260714-MCP-CP-MVP-001 / MCP-US-020</x:v>
      </x:c>
    </x:row>
    <x:row r="25" ht="38" customHeight="1">
      <x:c r="A25" s="24" t="str">
        <x:v>MCP-US-021</x:v>
      </x:c>
      <x:c r="B25" s="24" t="str">
        <x:v>MCP-EPIC-003</x:v>
      </x:c>
      <x:c r="C25" s="24" t="str">
        <x:v>Stereo I2S Expansion Decision</x:v>
      </x:c>
      <x:c r="D25" s="24" t="str">
        <x:v>DSP/Chip Engineer</x:v>
      </x:c>
      <x:c r="E25" s="24" t="str">
        <x:v>Must</x:v>
      </x:c>
      <x:c r="F25" s="24" t="str">
        <x:v>Backlog</x:v>
      </x:c>
      <x:c r="G25" s="24" t="str">
        <x:v>Sprint 4</x:v>
      </x:c>
      <x:c r="H25" s="24" t="str">
        <x:v>MVP</x:v>
      </x:c>
      <x:c r="I25" s="65" t="n">
        <x:v>3</x:v>
      </x:c>
      <x:c r="J25" s="24" t="str">
        <x:v>US-015, US-016</x:v>
      </x:c>
      <x:c r="K25" s="24" t="str">
        <x:v>ADR kies primêre uitvoer; PWM-diagnostiek bly beskikbaar</x:v>
      </x:c>
      <x:c r="L25" s="24" t="str">
        <x:v>CHATOD-20260714-MCP-CP-MVP-001 / MCP-US-021</x:v>
      </x:c>
    </x:row>
    <x:row r="26" ht="38" customHeight="1">
      <x:c r="A26" s="24" t="str">
        <x:v>MCP-US-022</x:v>
      </x:c>
      <x:c r="B26" s="24" t="str">
        <x:v>MCP-EPIC-004</x:v>
      </x:c>
      <x:c r="C26" s="24" t="str">
        <x:v>Cooperative Runtime Scheduler</x:v>
      </x:c>
      <x:c r="D26" s="24" t="str">
        <x:v>Web Engineer</x:v>
      </x:c>
      <x:c r="E26" s="24" t="str">
        <x:v>Must</x:v>
      </x:c>
      <x:c r="F26" s="24" t="str">
        <x:v>Backlog</x:v>
      </x:c>
      <x:c r="G26" s="24" t="str">
        <x:v>Sprint 5</x:v>
      </x:c>
      <x:c r="H26" s="24" t="str">
        <x:v>MVP</x:v>
      </x:c>
      <x:c r="I26" s="65" t="n">
        <x:v>5</x:v>
      </x:c>
      <x:c r="J26" s="24" t="str">
        <x:v>US-007, US-014</x:v>
      </x:c>
      <x:c r="K26" s="24" t="str">
        <x:v>MIDI, klank en web-polling deel tyd sonder hoorbare blokkasie</x:v>
      </x:c>
      <x:c r="L26" s="24" t="str">
        <x:v>CHATOD-20260714-MCP-CP-MVP-001 / MCP-US-022</x:v>
      </x:c>
    </x:row>
    <x:row r="27" ht="38" customHeight="1">
      <x:c r="A27" s="24" t="str">
        <x:v>MCP-US-023</x:v>
      </x:c>
      <x:c r="B27" s="24" t="str">
        <x:v>MCP-EPIC-004</x:v>
      </x:c>
      <x:c r="C27" s="24" t="str">
        <x:v>Safe Wi-Fi Station And AP Fallback Service</x:v>
      </x:c>
      <x:c r="D27" s="24" t="str">
        <x:v>Web Engineer</x:v>
      </x:c>
      <x:c r="E27" s="24" t="str">
        <x:v>Must</x:v>
      </x:c>
      <x:c r="F27" s="24" t="str">
        <x:v>Backlog</x:v>
      </x:c>
      <x:c r="G27" s="24" t="str">
        <x:v>Sprint 5</x:v>
      </x:c>
      <x:c r="H27" s="24" t="str">
        <x:v>MVP</x:v>
      </x:c>
      <x:c r="I27" s="65" t="n">
        <x:v>5</x:v>
      </x:c>
      <x:c r="J27" s="24" t="str">
        <x:v>US-005, US-022</x:v>
      </x:c>
      <x:c r="K27" s="24" t="str">
        <x:v>Runtime join 'n gekonfigureerde netwerk binne timeout en rapporteer station-IP; by mislukking begin 'n beveiligde AP en rapporteer AP-IP sonder MIDI-/klankblokkasie</x:v>
      </x:c>
      <x:c r="L27" s="24" t="str">
        <x:v>CHATOD-20260714-MCP-CP-MVP-001 / WIFI-RUNTIME-AMENDMENT-001 / MCP-US-023</x:v>
      </x:c>
    </x:row>
    <x:row r="28" ht="38" customHeight="1">
      <x:c r="A28" s="24" t="str">
        <x:v>MCP-US-024</x:v>
      </x:c>
      <x:c r="B28" s="24" t="str">
        <x:v>MCP-EPIC-004</x:v>
      </x:c>
      <x:c r="C28" s="24" t="str">
        <x:v>Mobile-Friendly Local Web Status And Parameters</x:v>
      </x:c>
      <x:c r="D28" s="24" t="str">
        <x:v>Web Engineer</x:v>
      </x:c>
      <x:c r="E28" s="24" t="str">
        <x:v>Must</x:v>
      </x:c>
      <x:c r="F28" s="24" t="str">
        <x:v>Backlog</x:v>
      </x:c>
      <x:c r="G28" s="24" t="str">
        <x:v>Sprint 5</x:v>
      </x:c>
      <x:c r="H28" s="24" t="str">
        <x:v>MVP</x:v>
      </x:c>
      <x:c r="I28" s="65" t="n">
        <x:v>8</x:v>
      </x:c>
      <x:c r="J28" s="24" t="str">
        <x:v>US-023</x:v>
      </x:c>
      <x:c r="K28" s="24" t="str">
        <x:v>Een mobiele plaaslike klient lees status en verander veilige parameters in station/AP-modus; polling en logging bly spaarsaam en koersbegrens</x:v>
      </x:c>
      <x:c r="L28" s="24" t="str">
        <x:v>CHATOD-20260714-MCP-CP-MVP-001 / WIFI-RUNTIME-AMENDMENT-001 / MCP-US-024</x:v>
      </x:c>
    </x:row>
    <x:row r="29" ht="38" customHeight="1">
      <x:c r="A29" s="24" t="str">
        <x:v>MCP-US-025</x:v>
      </x:c>
      <x:c r="B29" s="24" t="str">
        <x:v>MCP-EPIC-004</x:v>
      </x:c>
      <x:c r="C29" s="24" t="str">
        <x:v>Browser Virtual MIDI Keyboard</x:v>
      </x:c>
      <x:c r="D29" s="24" t="str">
        <x:v>Web Engineer</x:v>
      </x:c>
      <x:c r="E29" s="24" t="str">
        <x:v>Must</x:v>
      </x:c>
      <x:c r="F29" s="24" t="str">
        <x:v>Backlog</x:v>
      </x:c>
      <x:c r="G29" s="24" t="str">
        <x:v>Sprint 5</x:v>
      </x:c>
      <x:c r="H29" s="24" t="str">
        <x:v>MVP</x:v>
      </x:c>
      <x:c r="I29" s="65" t="n">
        <x:v>5</x:v>
      </x:c>
      <x:c r="J29" s="24" t="str">
        <x:v>US-024</x:v>
      </x:c>
      <x:c r="K29" s="24" t="str">
        <x:v>Klik/touch stuur note via dieselfde event-model</x:v>
      </x:c>
      <x:c r="L29" s="24" t="str">
        <x:v>CHATOD-20260714-MCP-CP-MVP-001 / MCP-US-025</x:v>
      </x:c>
    </x:row>
    <x:row r="30" ht="38" customHeight="1">
      <x:c r="A30" s="24" t="str">
        <x:v>MCP-US-026</x:v>
      </x:c>
      <x:c r="B30" s="24" t="str">
        <x:v>MCP-EPIC-004</x:v>
      </x:c>
      <x:c r="C30" s="24" t="str">
        <x:v>Simple Step Sequencer</x:v>
      </x:c>
      <x:c r="D30" s="24" t="str">
        <x:v>Web Engineer</x:v>
      </x:c>
      <x:c r="E30" s="24" t="str">
        <x:v>Must</x:v>
      </x:c>
      <x:c r="F30" s="24" t="str">
        <x:v>Backlog</x:v>
      </x:c>
      <x:c r="G30" s="24" t="str">
        <x:v>Sprint 5</x:v>
      </x:c>
      <x:c r="H30" s="24" t="str">
        <x:v>MVP</x:v>
      </x:c>
      <x:c r="I30" s="65" t="n">
        <x:v>5</x:v>
      </x:c>
      <x:c r="J30" s="24" t="str">
        <x:v>US-011, US-024</x:v>
      </x:c>
      <x:c r="K30" s="24" t="str">
        <x:v>’n Kort patroon kan teen interne/eksterne klok loop en stop</x:v>
      </x:c>
      <x:c r="L30" s="24" t="str">
        <x:v>CHATOD-20260714-MCP-CP-MVP-001 / MCP-US-026</x:v>
      </x:c>
    </x:row>
    <x:row r="31" ht="38" customHeight="1">
      <x:c r="A31" s="24" t="str">
        <x:v>MCP-US-027</x:v>
      </x:c>
      <x:c r="B31" s="24" t="str">
        <x:v>MCP-EPIC-004</x:v>
      </x:c>
      <x:c r="C31" s="24" t="str">
        <x:v>Web Security And Recovery</x:v>
      </x:c>
      <x:c r="D31" s="24" t="str">
        <x:v>Web Engineer</x:v>
      </x:c>
      <x:c r="E31" s="24" t="str">
        <x:v>Must</x:v>
      </x:c>
      <x:c r="F31" s="24" t="str">
        <x:v>Backlog</x:v>
      </x:c>
      <x:c r="G31" s="24" t="str">
        <x:v>Sprint 5</x:v>
      </x:c>
      <x:c r="H31" s="24" t="str">
        <x:v>MVP</x:v>
      </x:c>
      <x:c r="I31" s="65" t="n">
        <x:v>8</x:v>
      </x:c>
      <x:c r="J31" s="24" t="str">
        <x:v>US-024</x:v>
      </x:c>
      <x:c r="K31" s="24" t="str">
        <x:v>Vertroude-LAN/AP-grens, private credentials, sessielimiet, netwerkafskakeling en herstelpad is getoets</x:v>
      </x:c>
      <x:c r="L31" s="24" t="str">
        <x:v>CHATOD-20260714-MCP-CP-MVP-001 / WIFI-RUNTIME-AMENDMENT-001 / MCP-US-027</x:v>
      </x:c>
    </x:row>
    <x:row r="32" ht="38" customHeight="1">
      <x:c r="A32" s="24" t="str">
        <x:v>MCP-US-028</x:v>
      </x:c>
      <x:c r="B32" s="24" t="str">
        <x:v>MCP-EPIC-005</x:v>
      </x:c>
      <x:c r="C32" s="24" t="str">
        <x:v>Constrained MIDI File Parser</x:v>
      </x:c>
      <x:c r="D32" s="24" t="str">
        <x:v>Product/Functional</x:v>
      </x:c>
      <x:c r="E32" s="24" t="str">
        <x:v>Should</x:v>
      </x:c>
      <x:c r="F32" s="24" t="str">
        <x:v>Backlog</x:v>
      </x:c>
      <x:c r="G32" s="24" t="str">
        <x:v>Sprint 6+</x:v>
      </x:c>
      <x:c r="H32" s="24" t="str">
        <x:v>Later</x:v>
      </x:c>
      <x:c r="I32" s="65" t="n">
        <x:v>8</x:v>
      </x:c>
      <x:c r="J32" s="24" t="str">
        <x:v>US-006, US-011</x:v>
      </x:c>
      <x:c r="K32" s="24" t="str">
        <x:v>Ondersteunde formaat en gebeurtenislimiete faal veilig</x:v>
      </x:c>
      <x:c r="L32" s="24" t="str">
        <x:v>CHATOD-20260714-MCP-CP-MVP-001 / MCP-US-028</x:v>
      </x:c>
    </x:row>
    <x:row r="33" ht="38" customHeight="1">
      <x:c r="A33" s="24" t="str">
        <x:v>MCP-US-029</x:v>
      </x:c>
      <x:c r="B33" s="24" t="str">
        <x:v>MCP-EPIC-005</x:v>
      </x:c>
      <x:c r="C33" s="24" t="str">
        <x:v>Chip-Aware MIDI File Playback</x:v>
      </x:c>
      <x:c r="D33" s="24" t="str">
        <x:v>Product/Functional</x:v>
      </x:c>
      <x:c r="E33" s="24" t="str">
        <x:v>Should</x:v>
      </x:c>
      <x:c r="F33" s="24" t="str">
        <x:v>Backlog</x:v>
      </x:c>
      <x:c r="G33" s="24" t="str">
        <x:v>Sprint 6+</x:v>
      </x:c>
      <x:c r="H33" s="24" t="str">
        <x:v>Later</x:v>
      </x:c>
      <x:c r="I33" s="65" t="n">
        <x:v>8</x:v>
      </x:c>
      <x:c r="J33" s="24" t="str">
        <x:v>US-017, US-028</x:v>
      </x:c>
      <x:c r="K33" s="24" t="str">
        <x:v>Oortollige note word volgens die kern se stemlimiet hanteer</x:v>
      </x:c>
      <x:c r="L33" s="24" t="str">
        <x:v>CHATOD-20260714-MCP-CP-MVP-001 / MCP-US-029</x:v>
      </x:c>
    </x:row>
    <x:row r="34" ht="38" customHeight="1">
      <x:c r="A34" s="24" t="str">
        <x:v>MCP-US-030</x:v>
      </x:c>
      <x:c r="B34" s="24" t="str">
        <x:v>MCP-EPIC-005</x:v>
      </x:c>
      <x:c r="C34" s="24" t="str">
        <x:v>Local Media File Browser</x:v>
      </x:c>
      <x:c r="D34" s="24" t="str">
        <x:v>Product/Functional</x:v>
      </x:c>
      <x:c r="E34" s="24" t="str">
        <x:v>Should</x:v>
      </x:c>
      <x:c r="F34" s="24" t="str">
        <x:v>Backlog</x:v>
      </x:c>
      <x:c r="G34" s="24" t="str">
        <x:v>Sprint 6+</x:v>
      </x:c>
      <x:c r="H34" s="24" t="str">
        <x:v>Later</x:v>
      </x:c>
      <x:c r="I34" s="65" t="n">
        <x:v>8</x:v>
      </x:c>
      <x:c r="J34" s="24" t="str">
        <x:v>US-024, US-028</x:v>
      </x:c>
      <x:c r="K34" s="24" t="str">
        <x:v>Gebruiker kies ’n plaaslike MIDI-lêer sonder kodewysiging</x:v>
      </x:c>
      <x:c r="L34" s="24" t="str">
        <x:v>CHATOD-20260714-MCP-CP-MVP-001 / MCP-US-030</x:v>
      </x:c>
    </x:row>
    <x:row r="35" ht="38" customHeight="1">
      <x:c r="A35" s="24" t="str">
        <x:v>MCP-US-031</x:v>
      </x:c>
      <x:c r="B35" s="24" t="str">
        <x:v>MCP-EPIC-005</x:v>
      </x:c>
      <x:c r="C35" s="24" t="str">
        <x:v>Arpeggiator</x:v>
      </x:c>
      <x:c r="D35" s="24" t="str">
        <x:v>Product/Functional</x:v>
      </x:c>
      <x:c r="E35" s="24" t="str">
        <x:v>Could</x:v>
      </x:c>
      <x:c r="F35" s="24" t="str">
        <x:v>Backlog</x:v>
      </x:c>
      <x:c r="G35" s="24" t="str">
        <x:v>Sprint 6+</x:v>
      </x:c>
      <x:c r="H35" s="24" t="str">
        <x:v>Stretch</x:v>
      </x:c>
      <x:c r="I35" s="65" t="n">
        <x:v>5</x:v>
      </x:c>
      <x:c r="J35" s="24" t="str">
        <x:v>US-011, US-017</x:v>
      </x:c>
      <x:c r="K35" s="24" t="str">
        <x:v>Up/down/random patrone volg BPM en note-off</x:v>
      </x:c>
      <x:c r="L35" s="24" t="str">
        <x:v>CHATOD-20260714-MCP-CP-MVP-001 / MCP-US-031</x:v>
      </x:c>
    </x:row>
    <x:row r="36" ht="38" customHeight="1">
      <x:c r="A36" s="24" t="str">
        <x:v>MCP-US-032</x:v>
      </x:c>
      <x:c r="B36" s="24" t="str">
        <x:v>MCP-EPIC-005</x:v>
      </x:c>
      <x:c r="C36" s="24" t="str">
        <x:v>Chord Progression Generator</x:v>
      </x:c>
      <x:c r="D36" s="24" t="str">
        <x:v>Product/Functional</x:v>
      </x:c>
      <x:c r="E36" s="24" t="str">
        <x:v>Could</x:v>
      </x:c>
      <x:c r="F36" s="24" t="str">
        <x:v>Backlog</x:v>
      </x:c>
      <x:c r="G36" s="24" t="str">
        <x:v>Sprint 6+</x:v>
      </x:c>
      <x:c r="H36" s="24" t="str">
        <x:v>Stretch</x:v>
      </x:c>
      <x:c r="I36" s="65" t="n">
        <x:v>5</x:v>
      </x:c>
      <x:c r="J36" s="24" t="str">
        <x:v>US-026</x:v>
      </x:c>
      <x:c r="K36" s="24" t="str">
        <x:v>Sleutel, progressie, BPM en random seed is beheerbaar</x:v>
      </x:c>
      <x:c r="L36" s="24" t="str">
        <x:v>CHATOD-20260714-MCP-CP-MVP-001 / MCP-US-032</x:v>
      </x:c>
    </x:row>
    <x:row r="37" ht="38" customHeight="1">
      <x:c r="A37" s="24" t="str">
        <x:v>MCP-US-033</x:v>
      </x:c>
      <x:c r="B37" s="24" t="str">
        <x:v>MCP-EPIC-005</x:v>
      </x:c>
      <x:c r="C37" s="24" t="str">
        <x:v>Patch Save Load And Factory Reset</x:v>
      </x:c>
      <x:c r="D37" s="24" t="str">
        <x:v>Product/Functional</x:v>
      </x:c>
      <x:c r="E37" s="24" t="str">
        <x:v>Must</x:v>
      </x:c>
      <x:c r="F37" s="24" t="str">
        <x:v>Backlog</x:v>
      </x:c>
      <x:c r="G37" s="24" t="str">
        <x:v>Sprint 6+</x:v>
      </x:c>
      <x:c r="H37" s="24" t="str">
        <x:v>MVP</x:v>
      </x:c>
      <x:c r="I37" s="65" t="n">
        <x:v>5</x:v>
      </x:c>
      <x:c r="J37" s="24" t="str">
        <x:v>US-005, US-024</x:v>
      </x:c>
      <x:c r="K37" s="24" t="str">
        <x:v>Geldige patch bly ná reboot; korrupsie val terug na veilige verstek</x:v>
      </x:c>
      <x:c r="L37" s="24" t="str">
        <x:v>CHATOD-20260714-MCP-CP-MVP-001 / MCP-US-033</x:v>
      </x:c>
    </x:row>
    <x:row r="38" ht="38" customHeight="1">
      <x:c r="A38" s="24" t="str">
        <x:v>MCP-US-034</x:v>
      </x:c>
      <x:c r="B38" s="24" t="str">
        <x:v>MCP-EPIC-006</x:v>
      </x:c>
      <x:c r="C38" s="24" t="str">
        <x:v>SynthCore Interface And Registry</x:v>
      </x:c>
      <x:c r="D38" s="24" t="str">
        <x:v>DSP/Chip Engineer</x:v>
      </x:c>
      <x:c r="E38" s="24" t="str">
        <x:v>Must</x:v>
      </x:c>
      <x:c r="F38" s="24" t="str">
        <x:v>Backlog</x:v>
      </x:c>
      <x:c r="G38" s="24" t="str">
        <x:v>Post-MVP</x:v>
      </x:c>
      <x:c r="H38" s="24" t="str">
        <x:v>MVP</x:v>
      </x:c>
      <x:c r="I38" s="65" t="n">
        <x:v>5</x:v>
      </x:c>
      <x:c r="J38" s="24" t="str">
        <x:v>US-002, US-017</x:v>
      </x:c>
      <x:c r="K38" s="24" t="str">
        <x:v>Kern kan via registrasienaam gekies word sonder routerwysiging</x:v>
      </x:c>
      <x:c r="L38" s="24" t="str">
        <x:v>CHATOD-20260714-MCP-CP-MVP-001 / MCP-US-034</x:v>
      </x:c>
    </x:row>
    <x:row r="39" ht="38" customHeight="1">
      <x:c r="A39" s="24" t="str">
        <x:v>MCP-US-035</x:v>
      </x:c>
      <x:c r="B39" s="24" t="str">
        <x:v>MCP-EPIC-006</x:v>
      </x:c>
      <x:c r="C39" s="24" t="str">
        <x:v>Core Selection By Config And Web</x:v>
      </x:c>
      <x:c r="D39" s="24" t="str">
        <x:v>DSP/Chip Engineer</x:v>
      </x:c>
      <x:c r="E39" s="24" t="str">
        <x:v>Must</x:v>
      </x:c>
      <x:c r="F39" s="24" t="str">
        <x:v>Backlog</x:v>
      </x:c>
      <x:c r="G39" s="24" t="str">
        <x:v>MVP-late</x:v>
      </x:c>
      <x:c r="H39" s="24" t="str">
        <x:v>MVP-late</x:v>
      </x:c>
      <x:c r="I39" s="65" t="n">
        <x:v>8</x:v>
      </x:c>
      <x:c r="J39" s="24" t="str">
        <x:v>US-024, US-034</x:v>
      </x:c>
      <x:c r="K39" s="24" t="str">
        <x:v>Kernkeuse via config/web gebruik dieselfde registry</x:v>
      </x:c>
      <x:c r="L39" s="24" t="str">
        <x:v>CHATOD-20260714-MCP-CP-MVP-001 / MCP-US-035</x:v>
      </x:c>
    </x:row>
    <x:row r="40" ht="38" customHeight="1">
      <x:c r="A40" s="24" t="str">
        <x:v>MCP-US-036</x:v>
      </x:c>
      <x:c r="B40" s="24" t="str">
        <x:v>MCP-EPIC-006</x:v>
      </x:c>
      <x:c r="C40" s="24" t="str">
        <x:v>Core Selection By MIDI Channel</x:v>
      </x:c>
      <x:c r="D40" s="24" t="str">
        <x:v>DSP/Chip Engineer</x:v>
      </x:c>
      <x:c r="E40" s="24" t="str">
        <x:v>Must</x:v>
      </x:c>
      <x:c r="F40" s="24" t="str">
        <x:v>Backlog</x:v>
      </x:c>
      <x:c r="G40" s="24" t="str">
        <x:v>MVP-late</x:v>
      </x:c>
      <x:c r="H40" s="24" t="str">
        <x:v>MVP-late</x:v>
      </x:c>
      <x:c r="I40" s="65" t="n">
        <x:v>5</x:v>
      </x:c>
      <x:c r="J40" s="24" t="str">
        <x:v>US-008, US-034</x:v>
      </x:c>
      <x:c r="K40" s="24" t="str">
        <x:v>Kanaal-tot-kern-toewysing is dinamies en diagnosties sigbaar</x:v>
      </x:c>
      <x:c r="L40" s="24" t="str">
        <x:v>CHATOD-20260714-MCP-CP-MVP-001 / MCP-US-036</x:v>
      </x:c>
    </x:row>
    <x:row r="41" ht="38" customHeight="1">
      <x:c r="A41" s="24" t="str">
        <x:v>MCP-US-037</x:v>
      </x:c>
      <x:c r="B41" s="24" t="str">
        <x:v>MCP-EPIC-006</x:v>
      </x:c>
      <x:c r="C41" s="24" t="str">
        <x:v>Concurrent Multi-Core Runtime</x:v>
      </x:c>
      <x:c r="D41" s="24" t="str">
        <x:v>DSP/Chip Engineer</x:v>
      </x:c>
      <x:c r="E41" s="24" t="str">
        <x:v>Must</x:v>
      </x:c>
      <x:c r="F41" s="24" t="str">
        <x:v>Backlog</x:v>
      </x:c>
      <x:c r="G41" s="24" t="str">
        <x:v>MVP-late</x:v>
      </x:c>
      <x:c r="H41" s="24" t="str">
        <x:v>MVP-late</x:v>
      </x:c>
      <x:c r="I41" s="65" t="n">
        <x:v>8</x:v>
      </x:c>
      <x:c r="J41" s="24" t="str">
        <x:v>US-035, US-036</x:v>
      </x:c>
      <x:c r="K41" s="24" t="str">
        <x:v>Minstens twee verskillende kerninstansies loop parallel binne 'n gemete CPU/RAM/latensiebegroting</x:v>
      </x:c>
      <x:c r="L41" s="24" t="str">
        <x:v>CHATOD-20260714-MCP-CP-MVP-001 / MIDI-TRANSPORT-MULTICORE-AMENDMENT-001 / MCP-US-037</x:v>
      </x:c>
    </x:row>
    <x:row r="42" ht="38" customHeight="1">
      <x:c r="A42" s="24" t="str">
        <x:v>MCP-US-038</x:v>
      </x:c>
      <x:c r="B42" s="24" t="str">
        <x:v>MCP-EPIC-006</x:v>
      </x:c>
      <x:c r="C42" s="24" t="str">
        <x:v>6581 SID Core Spike</x:v>
      </x:c>
      <x:c r="D42" s="24" t="str">
        <x:v>DSP/Chip Engineer</x:v>
      </x:c>
      <x:c r="E42" s="24" t="str">
        <x:v>Should</x:v>
      </x:c>
      <x:c r="F42" s="24" t="str">
        <x:v>Backlog</x:v>
      </x:c>
      <x:c r="G42" s="24" t="str">
        <x:v>Post-MVP</x:v>
      </x:c>
      <x:c r="H42" s="24" t="str">
        <x:v>Later</x:v>
      </x:c>
      <x:c r="I42" s="65" t="n">
        <x:v>3</x:v>
      </x:c>
      <x:c r="J42" s="24" t="str">
        <x:v>US-034</x:v>
      </x:c>
      <x:c r="K42" s="24" t="str">
        <x:v>Akkuraatheidsdoel, filterbeperking en drie-stem-uitvoer is bewys</x:v>
      </x:c>
      <x:c r="L42" s="24" t="str">
        <x:v>CHATOD-20260714-MCP-CP-MVP-001 / MCP-US-038</x:v>
      </x:c>
    </x:row>
    <x:row r="43" ht="38" customHeight="1">
      <x:c r="A43" s="24" t="str">
        <x:v>MCP-US-039</x:v>
      </x:c>
      <x:c r="B43" s="24" t="str">
        <x:v>MCP-EPIC-006</x:v>
      </x:c>
      <x:c r="C43" s="24" t="str">
        <x:v>SID File Local Playback</x:v>
      </x:c>
      <x:c r="D43" s="24" t="str">
        <x:v>DSP/Chip Engineer</x:v>
      </x:c>
      <x:c r="E43" s="24" t="str">
        <x:v>Should</x:v>
      </x:c>
      <x:c r="F43" s="24" t="str">
        <x:v>Backlog</x:v>
      </x:c>
      <x:c r="G43" s="24" t="str">
        <x:v>Post-MVP</x:v>
      </x:c>
      <x:c r="H43" s="24" t="str">
        <x:v>Later</x:v>
      </x:c>
      <x:c r="I43" s="65" t="n">
        <x:v>8</x:v>
      </x:c>
      <x:c r="J43" s="24" t="str">
        <x:v>US-038</x:v>
      </x:c>
      <x:c r="K43" s="24" t="str">
        <x:v>’n begrensde SID-subset speel van plaaslike media</x:v>
      </x:c>
      <x:c r="L43" s="24" t="str">
        <x:v>CHATOD-20260714-MCP-CP-MVP-001 / MCP-US-039</x:v>
      </x:c>
    </x:row>
    <x:row r="44" ht="38" customHeight="1">
      <x:c r="A44" s="24" t="str">
        <x:v>MCP-US-040</x:v>
      </x:c>
      <x:c r="B44" s="24" t="str">
        <x:v>MCP-EPIC-006</x:v>
      </x:c>
      <x:c r="C44" s="24" t="str">
        <x:v>SID File Remote Streaming</x:v>
      </x:c>
      <x:c r="D44" s="24" t="str">
        <x:v>DSP/Chip Engineer</x:v>
      </x:c>
      <x:c r="E44" s="24" t="str">
        <x:v>Should</x:v>
      </x:c>
      <x:c r="F44" s="24" t="str">
        <x:v>Backlog</x:v>
      </x:c>
      <x:c r="G44" s="24" t="str">
        <x:v>Post-MVP</x:v>
      </x:c>
      <x:c r="H44" s="24" t="str">
        <x:v>Later</x:v>
      </x:c>
      <x:c r="I44" s="65" t="n">
        <x:v>8</x:v>
      </x:c>
      <x:c r="J44" s="24" t="str">
        <x:v>US-023, US-039</x:v>
      </x:c>
      <x:c r="K44" s="24" t="str">
        <x:v>Bronlisensie, buffering, timeouts en veilige mislukking is bewys</x:v>
      </x:c>
      <x:c r="L44" s="24" t="str">
        <x:v>CHATOD-20260714-MCP-CP-MVP-001 / MCP-US-040</x:v>
      </x:c>
    </x:row>
    <x:row r="45" ht="38" customHeight="1">
      <x:c r="A45" s="24" t="str">
        <x:v>MCP-US-041</x:v>
      </x:c>
      <x:c r="B45" s="24" t="str">
        <x:v>MCP-EPIC-006</x:v>
      </x:c>
      <x:c r="C45" s="24" t="str">
        <x:v>OPL2 Core Adapter</x:v>
      </x:c>
      <x:c r="D45" s="24" t="str">
        <x:v>DSP/Chip Engineer</x:v>
      </x:c>
      <x:c r="E45" s="24" t="str">
        <x:v>Should</x:v>
      </x:c>
      <x:c r="F45" s="24" t="str">
        <x:v>Backlog</x:v>
      </x:c>
      <x:c r="G45" s="24" t="str">
        <x:v>Post-MVP</x:v>
      </x:c>
      <x:c r="H45" s="24" t="str">
        <x:v>Later</x:v>
      </x:c>
      <x:c r="I45" s="65" t="n">
        <x:v>5</x:v>
      </x:c>
      <x:c r="J45" s="24" t="str">
        <x:v>US-034</x:v>
      </x:c>
      <x:c r="K45" s="24" t="str">
        <x:v>OPL2-register-/stemkontrak werk deur dieselfde router</x:v>
      </x:c>
      <x:c r="L45" s="24" t="str">
        <x:v>CHATOD-20260714-MCP-CP-MVP-001 / MCP-US-041</x:v>
      </x:c>
    </x:row>
    <x:row r="46" ht="38" customHeight="1">
      <x:c r="A46" s="24" t="str">
        <x:v>MCP-US-042</x:v>
      </x:c>
      <x:c r="B46" s="24" t="str">
        <x:v>MCP-EPIC-006</x:v>
      </x:c>
      <x:c r="C46" s="24" t="str">
        <x:v>OPL3 Core Adapter</x:v>
      </x:c>
      <x:c r="D46" s="24" t="str">
        <x:v>DSP/Chip Engineer</x:v>
      </x:c>
      <x:c r="E46" s="24" t="str">
        <x:v>Should</x:v>
      </x:c>
      <x:c r="F46" s="24" t="str">
        <x:v>Backlog</x:v>
      </x:c>
      <x:c r="G46" s="24" t="str">
        <x:v>Post-MVP</x:v>
      </x:c>
      <x:c r="H46" s="24" t="str">
        <x:v>Later</x:v>
      </x:c>
      <x:c r="I46" s="65" t="n">
        <x:v>5</x:v>
      </x:c>
      <x:c r="J46" s="24" t="str">
        <x:v>US-041</x:v>
      </x:c>
      <x:c r="K46" s="24" t="str">
        <x:v>OPL3-vermoëns word sonder OPL2-regressie bygevoeg</x:v>
      </x:c>
      <x:c r="L46" s="24" t="str">
        <x:v>CHATOD-20260714-MCP-CP-MVP-001 / MCP-US-042</x:v>
      </x:c>
    </x:row>
    <x:row r="47" ht="38" customHeight="1">
      <x:c r="A47" s="24" t="str">
        <x:v>MCP-US-043</x:v>
      </x:c>
      <x:c r="B47" s="24" t="str">
        <x:v>MCP-EPIC-007</x:v>
      </x:c>
      <x:c r="C47" s="24" t="str">
        <x:v>DSP Budget And Bypass</x:v>
      </x:c>
      <x:c r="D47" s="24" t="str">
        <x:v>Hardware/DSP</x:v>
      </x:c>
      <x:c r="E47" s="24" t="str">
        <x:v>Must</x:v>
      </x:c>
      <x:c r="F47" s="24" t="str">
        <x:v>Backlog</x:v>
      </x:c>
      <x:c r="G47" s="24" t="str">
        <x:v>MVP-late</x:v>
      </x:c>
      <x:c r="H47" s="24" t="str">
        <x:v>MVP</x:v>
      </x:c>
      <x:c r="I47" s="65" t="n">
        <x:v>5</x:v>
      </x:c>
      <x:c r="J47" s="24" t="str">
        <x:v>US-021, US-022</x:v>
      </x:c>
      <x:c r="K47" s="24" t="str">
        <x:v>Harde RAM/latensiegrens en klikvrye bypass is gemeet</x:v>
      </x:c>
      <x:c r="L47" s="24" t="str">
        <x:v>CHATOD-20260714-MCP-CP-MVP-001 / MCP-US-043</x:v>
      </x:c>
    </x:row>
    <x:row r="48" ht="38" customHeight="1">
      <x:c r="A48" s="24" t="str">
        <x:v>MCP-US-044</x:v>
      </x:c>
      <x:c r="B48" s="24" t="str">
        <x:v>MCP-EPIC-007</x:v>
      </x:c>
      <x:c r="C48" s="24" t="str">
        <x:v>Lightweight Delay Echo</x:v>
      </x:c>
      <x:c r="D48" s="24" t="str">
        <x:v>Hardware/DSP</x:v>
      </x:c>
      <x:c r="E48" s="24" t="str">
        <x:v>Must</x:v>
      </x:c>
      <x:c r="F48" s="24" t="str">
        <x:v>Backlog</x:v>
      </x:c>
      <x:c r="G48" s="24" t="str">
        <x:v>MVP-late</x:v>
      </x:c>
      <x:c r="H48" s="24" t="str">
        <x:v>MVP-late</x:v>
      </x:c>
      <x:c r="I48" s="65" t="n">
        <x:v>5</x:v>
      </x:c>
      <x:c r="J48" s="24" t="str">
        <x:v>US-043</x:v>
      </x:c>
      <x:c r="K48" s="24" t="str">
        <x:v>Beperkte delay is hoorbaar, beheerbaar en MIDI-stabiel</x:v>
      </x:c>
      <x:c r="L48" s="24" t="str">
        <x:v>CHATOD-20260714-MCP-CP-MVP-001 / MCP-US-044</x:v>
      </x:c>
    </x:row>
    <x:row r="49" ht="38" customHeight="1">
      <x:c r="A49" s="24" t="str">
        <x:v>MCP-US-045</x:v>
      </x:c>
      <x:c r="B49" s="24" t="str">
        <x:v>MCP-EPIC-007</x:v>
      </x:c>
      <x:c r="C49" s="24" t="str">
        <x:v>Lightweight Reverb Spike</x:v>
      </x:c>
      <x:c r="D49" s="24" t="str">
        <x:v>Hardware/DSP</x:v>
      </x:c>
      <x:c r="E49" s="24" t="str">
        <x:v>Must</x:v>
      </x:c>
      <x:c r="F49" s="24" t="str">
        <x:v>Backlog</x:v>
      </x:c>
      <x:c r="G49" s="24" t="str">
        <x:v>MVP-late</x:v>
      </x:c>
      <x:c r="H49" s="24" t="str">
        <x:v>MVP-late</x:v>
      </x:c>
      <x:c r="I49" s="65" t="n">
        <x:v>3</x:v>
      </x:c>
      <x:c r="J49" s="24" t="str">
        <x:v>US-043</x:v>
      </x:c>
      <x:c r="K49" s="24" t="str">
        <x:v>Eenvoudige reverb slaag die begroting of lewer ’n gedokumenteerde no-go</x:v>
      </x:c>
      <x:c r="L49" s="24" t="str">
        <x:v>CHATOD-20260714-MCP-CP-MVP-001 / MCP-US-045</x:v>
      </x:c>
    </x:row>
    <x:row r="50" ht="38" customHeight="1">
      <x:c r="A50" s="24" t="str">
        <x:v>MCP-US-046</x:v>
      </x:c>
      <x:c r="B50" s="24" t="str">
        <x:v>MCP-EPIC-007</x:v>
      </x:c>
      <x:c r="C50" s="24" t="str">
        <x:v>Footswitch And Status LED</x:v>
      </x:c>
      <x:c r="D50" s="24" t="str">
        <x:v>Hardware/DSP</x:v>
      </x:c>
      <x:c r="E50" s="24" t="str">
        <x:v>Should</x:v>
      </x:c>
      <x:c r="F50" s="24" t="str">
        <x:v>Backlog</x:v>
      </x:c>
      <x:c r="G50" s="24" t="str">
        <x:v>Post-MVP</x:v>
      </x:c>
      <x:c r="H50" s="24" t="str">
        <x:v>Later</x:v>
      </x:c>
      <x:c r="I50" s="65" t="n">
        <x:v>5</x:v>
      </x:c>
      <x:c r="J50" s="24" t="str">
        <x:v>US-004</x:v>
      </x:c>
      <x:c r="K50" s="24" t="str">
        <x:v>Debounce, bypass en LED-status werk sonder globale status</x:v>
      </x:c>
      <x:c r="L50" s="24" t="str">
        <x:v>CHATOD-20260714-MCP-CP-MVP-001 / MCP-US-046</x:v>
      </x:c>
    </x:row>
    <x:row r="51" ht="38" customHeight="1">
      <x:c r="A51" s="24" t="str">
        <x:v>MCP-US-047</x:v>
      </x:c>
      <x:c r="B51" s="24" t="str">
        <x:v>MCP-EPIC-007</x:v>
      </x:c>
      <x:c r="C51" s="24" t="str">
        <x:v>Pedal Power And Audio Protection</x:v>
      </x:c>
      <x:c r="D51" s="24" t="str">
        <x:v>Hardware/DSP</x:v>
      </x:c>
      <x:c r="E51" s="24" t="str">
        <x:v>Should</x:v>
      </x:c>
      <x:c r="F51" s="24" t="str">
        <x:v>Backlog</x:v>
      </x:c>
      <x:c r="G51" s="24" t="str">
        <x:v>Post-MVP</x:v>
      </x:c>
      <x:c r="H51" s="24" t="str">
        <x:v>Later</x:v>
      </x:c>
      <x:c r="I51" s="65" t="n">
        <x:v>5</x:v>
      </x:c>
      <x:c r="J51" s="24" t="str">
        <x:v>US-021</x:v>
      </x:c>
      <x:c r="K51" s="24" t="str">
        <x:v>Krag, vlakke, filtering en beskerming is geskematiseer en gemeet</x:v>
      </x:c>
      <x:c r="L51" s="24" t="str">
        <x:v>CHATOD-20260714-MCP-CP-MVP-001 / MCP-US-047</x:v>
      </x:c>
    </x:row>
    <x:row r="52" ht="38" customHeight="1">
      <x:c r="A52" s="24" t="str">
        <x:v>MCP-US-048</x:v>
      </x:c>
      <x:c r="B52" s="24" t="str">
        <x:v>MCP-EPIC-007</x:v>
      </x:c>
      <x:c r="C52" s="24" t="str">
        <x:v>KiCad Reference PCB</x:v>
      </x:c>
      <x:c r="D52" s="24" t="str">
        <x:v>Hardware/DSP</x:v>
      </x:c>
      <x:c r="E52" s="24" t="str">
        <x:v>Should</x:v>
      </x:c>
      <x:c r="F52" s="24" t="str">
        <x:v>Backlog</x:v>
      </x:c>
      <x:c r="G52" s="24" t="str">
        <x:v>Post-MVP</x:v>
      </x:c>
      <x:c r="H52" s="24" t="str">
        <x:v>Later</x:v>
      </x:c>
      <x:c r="I52" s="65" t="n">
        <x:v>5</x:v>
      </x:c>
      <x:c r="J52" s="24" t="str">
        <x:v>US-047</x:v>
      </x:c>
      <x:c r="K52" s="24" t="str">
        <x:v>Skematiese, PCB en BOM slaag ERC/DRC en bring-up-runbook</x:v>
      </x:c>
      <x:c r="L52" s="24" t="str">
        <x:v>CHATOD-20260714-MCP-CP-MVP-001 / MCP-US-048</x:v>
      </x:c>
    </x:row>
    <x:row r="53" ht="38" customHeight="1">
      <x:c r="A53" s="24" t="str">
        <x:v>MCP-US-049</x:v>
      </x:c>
      <x:c r="B53" s="24" t="str">
        <x:v>MCP-EPIC-007</x:v>
      </x:c>
      <x:c r="C53" s="24" t="str">
        <x:v>External Audio Input Architecture</x:v>
      </x:c>
      <x:c r="D53" s="24" t="str">
        <x:v>Hardware/DSP</x:v>
      </x:c>
      <x:c r="E53" s="24" t="str">
        <x:v>Won't now</x:v>
      </x:c>
      <x:c r="F53" s="24" t="str">
        <x:v>Backlog</x:v>
      </x:c>
      <x:c r="G53" s="24" t="str">
        <x:v>Post-MVP</x:v>
      </x:c>
      <x:c r="H53" s="24" t="str">
        <x:v>Parking lot</x:v>
      </x:c>
      <x:c r="I53" s="65" t="n">
        <x:v>5</x:v>
      </x:c>
      <x:c r="J53" s="24" t="str">
        <x:v>US-047</x:v>
      </x:c>
      <x:c r="K53" s="24" t="str">
        <x:v>ADC/codec, headroom en DSP-roete het ’n goedgekeurde ADR</x:v>
      </x:c>
      <x:c r="L53" s="24" t="str">
        <x:v>CHATOD-20260714-MCP-CP-MVP-001 / MCP-US-049</x:v>
      </x:c>
    </x:row>
    <x:row r="54" ht="38" customHeight="1">
      <x:c r="A54" s="24" t="str">
        <x:v>MCP-US-050</x:v>
      </x:c>
      <x:c r="B54" s="24" t="str">
        <x:v>MCP-EPIC-008</x:v>
      </x:c>
      <x:c r="C54" s="24" t="str">
        <x:v>Host Simulator And Contract Tests</x:v>
      </x:c>
      <x:c r="D54" s="24" t="str">
        <x:v>QA/Release</x:v>
      </x:c>
      <x:c r="E54" s="24" t="str">
        <x:v>Must</x:v>
      </x:c>
      <x:c r="F54" s="24" t="str">
        <x:v>Backlog</x:v>
      </x:c>
      <x:c r="G54" s="24" t="str">
        <x:v>Release train</x:v>
      </x:c>
      <x:c r="H54" s="24" t="str">
        <x:v>MVP</x:v>
      </x:c>
      <x:c r="I54" s="65" t="n">
        <x:v>5</x:v>
      </x:c>
      <x:c r="J54" s="24" t="str">
        <x:v>US-002, US-006</x:v>
      </x:c>
      <x:c r="K54" s="24" t="str">
        <x:v>Kern/MIDI/clock-toetse loop op macOS, Windows en Linux sonder bord</x:v>
      </x:c>
      <x:c r="L54" s="24" t="str">
        <x:v>CHATOD-20260714-MCP-CP-MVP-001 / MCP-US-050</x:v>
      </x:c>
    </x:row>
    <x:row r="55" ht="38" customHeight="1">
      <x:c r="A55" s="24" t="str">
        <x:v>MCP-US-051</x:v>
      </x:c>
      <x:c r="B55" s="24" t="str">
        <x:v>MCP-EPIC-008</x:v>
      </x:c>
      <x:c r="C55" s="24" t="str">
        <x:v>Hardware-In-The-Loop Test Runner</x:v>
      </x:c>
      <x:c r="D55" s="24" t="str">
        <x:v>QA/Release</x:v>
      </x:c>
      <x:c r="E55" s="24" t="str">
        <x:v>Must</x:v>
      </x:c>
      <x:c r="F55" s="24" t="str">
        <x:v>In Review</x:v>
      </x:c>
      <x:c r="G55" s="24" t="str">
        <x:v>Sprint 1</x:v>
      </x:c>
      <x:c r="H55" s="24" t="str">
        <x:v>In Review/MVP</x:v>
      </x:c>
      <x:c r="I55" s="65" t="n">
        <x:v>5</x:v>
      </x:c>
      <x:c r="J55" s="24" t="str">
        <x:v>US-003, US-015</x:v>
      </x:c>
      <x:c r="K55" s="24" t="str">
        <x:v>Connection/deploy/boot/execution-runner is groen; USB-MIDI bewys; klankmeting wag op US-015/016</x:v>
      </x:c>
      <x:c r="L55" s="24" t="str">
        <x:v>CHATOD-20260714-MCP-CP-MVP-001 / MCP-US-051-IN-REVIEW</x:v>
      </x:c>
    </x:row>
    <x:row r="56" ht="38" customHeight="1">
      <x:c r="A56" s="24" t="str">
        <x:v>MCP-US-052</x:v>
      </x:c>
      <x:c r="B56" s="24" t="str">
        <x:v>MCP-EPIC-008</x:v>
      </x:c>
      <x:c r="C56" s="24" t="str">
        <x:v>Cross-Board Capability Profiles</x:v>
      </x:c>
      <x:c r="D56" s="24" t="str">
        <x:v>QA/Release</x:v>
      </x:c>
      <x:c r="E56" s="24" t="str">
        <x:v>Must</x:v>
      </x:c>
      <x:c r="F56" s="24" t="str">
        <x:v>Backlog</x:v>
      </x:c>
      <x:c r="G56" s="24" t="str">
        <x:v>Release train</x:v>
      </x:c>
      <x:c r="H56" s="24" t="str">
        <x:v>MVP</x:v>
      </x:c>
      <x:c r="I56" s="65" t="n">
        <x:v>8</x:v>
      </x:c>
      <x:c r="J56" s="24" t="str">
        <x:v>US-004</x:v>
      </x:c>
      <x:c r="K56" s="24" t="str">
        <x:v>'n Tweede BLE-geskikte CircuitPython-mikrobeheerder werk via 'n profiel sonder S2-regressie</x:v>
      </x:c>
      <x:c r="L56" s="24" t="str">
        <x:v>CHATOD-20260714-MCP-CP-MVP-001 / MCP-US-052</x:v>
      </x:c>
    </x:row>
    <x:row r="57" ht="38" customHeight="1">
      <x:c r="A57" s="24" t="str">
        <x:v>MCP-US-053</x:v>
      </x:c>
      <x:c r="B57" s="24" t="str">
        <x:v>MCP-EPIC-008</x:v>
      </x:c>
      <x:c r="C57" s="24" t="str">
        <x:v>Raspberry Pi Linux Blinka Adapter</x:v>
      </x:c>
      <x:c r="D57" s="24" t="str">
        <x:v>QA/Release</x:v>
      </x:c>
      <x:c r="E57" s="24" t="str">
        <x:v>Should</x:v>
      </x:c>
      <x:c r="F57" s="24" t="str">
        <x:v>Backlog</x:v>
      </x:c>
      <x:c r="G57" s="24" t="str">
        <x:v>Release train</x:v>
      </x:c>
      <x:c r="H57" s="24" t="str">
        <x:v>Later</x:v>
      </x:c>
      <x:c r="I57" s="65" t="n">
        <x:v>5</x:v>
      </x:c>
      <x:c r="J57" s="24" t="str">
        <x:v>US-014, US-050</x:v>
      </x:c>
      <x:c r="K57" s="24" t="str">
        <x:v>Pi Zero/2/3 gebruik Linux/Blinka sonder om firmwareportabiliteit te beweer</x:v>
      </x:c>
      <x:c r="L57" s="24" t="str">
        <x:v>CHATOD-20260714-MCP-CP-MVP-001 / MCP-US-053</x:v>
      </x:c>
    </x:row>
    <x:row r="58" ht="38" customHeight="1">
      <x:c r="A58" s="24" t="str">
        <x:v>MCP-US-054</x:v>
      </x:c>
      <x:c r="B58" s="24" t="str">
        <x:v>MCP-EPIC-008</x:v>
      </x:c>
      <x:c r="C58" s="24" t="str">
        <x:v>Windows USB MIDI Acceptance</x:v>
      </x:c>
      <x:c r="D58" s="24" t="str">
        <x:v>QA/Release</x:v>
      </x:c>
      <x:c r="E58" s="24" t="str">
        <x:v>Must</x:v>
      </x:c>
      <x:c r="F58" s="24" t="str">
        <x:v>Backlog</x:v>
      </x:c>
      <x:c r="G58" s="24" t="str">
        <x:v>Release train</x:v>
      </x:c>
      <x:c r="H58" s="24" t="str">
        <x:v>MVP</x:v>
      </x:c>
      <x:c r="I58" s="65" t="n">
        <x:v>5</x:v>
      </x:c>
      <x:c r="J58" s="24" t="str">
        <x:v>US-003, US-007</x:v>
      </x:c>
      <x:c r="K58" s="24" t="str">
        <x:v>Toestel verskyn en ontvang note op ’n skoon Windows-rekenaar</x:v>
      </x:c>
      <x:c r="L58" s="24" t="str">
        <x:v>CHATOD-20260714-MCP-CP-MVP-001 / MCP-US-054</x:v>
      </x:c>
    </x:row>
    <x:row r="59" ht="38" customHeight="1">
      <x:c r="A59" s="24" t="str">
        <x:v>MCP-US-055</x:v>
      </x:c>
      <x:c r="B59" s="24" t="str">
        <x:v>MCP-EPIC-008</x:v>
      </x:c>
      <x:c r="C59" s="24" t="str">
        <x:v>macOS Logic Pro Acceptance</x:v>
      </x:c>
      <x:c r="D59" s="24" t="str">
        <x:v>QA/Release</x:v>
      </x:c>
      <x:c r="E59" s="24" t="str">
        <x:v>Must</x:v>
      </x:c>
      <x:c r="F59" s="24" t="str">
        <x:v>Backlog</x:v>
      </x:c>
      <x:c r="G59" s="24" t="str">
        <x:v>Release train</x:v>
      </x:c>
      <x:c r="H59" s="24" t="str">
        <x:v>MVP</x:v>
      </x:c>
      <x:c r="I59" s="65" t="n">
        <x:v>5</x:v>
      </x:c>
      <x:c r="J59" s="24" t="str">
        <x:v>US-003, US-007</x:v>
      </x:c>
      <x:c r="K59" s="24" t="str">
        <x:v>Logic kies die synth as External MIDI destination en stuur note/clock; fisiese pedaaluitvoer bly die klankpad</x:v>
      </x:c>
      <x:c r="L59" s="24" t="str">
        <x:v>CHATOD-20260714-MCP-CP-MVP-001 / MCP-US-055</x:v>
      </x:c>
    </x:row>
    <x:row r="60" ht="38" customHeight="1">
      <x:c r="A60" s="24" t="str">
        <x:v>MCP-US-056</x:v>
      </x:c>
      <x:c r="B60" s="24" t="str">
        <x:v>MCP-EPIC-008</x:v>
      </x:c>
      <x:c r="C60" s="24" t="str">
        <x:v>Install Recovery And Diagnostics</x:v>
      </x:c>
      <x:c r="D60" s="24" t="str">
        <x:v>QA/Release</x:v>
      </x:c>
      <x:c r="E60" s="24" t="str">
        <x:v>Must</x:v>
      </x:c>
      <x:c r="F60" s="24" t="str">
        <x:v>Backlog</x:v>
      </x:c>
      <x:c r="G60" s="24" t="str">
        <x:v>Release train</x:v>
      </x:c>
      <x:c r="H60" s="24" t="str">
        <x:v>MVP</x:v>
      </x:c>
      <x:c r="I60" s="65" t="n">
        <x:v>5</x:v>
      </x:c>
      <x:c r="J60" s="24" t="str">
        <x:v>US-005, US-051</x:v>
      </x:c>
      <x:c r="K60" s="24" t="str">
        <x:v>Beginner-runbook dek geen MIDI, geen klank, safe mode en herstel</x:v>
      </x:c>
      <x:c r="L60" s="24" t="str">
        <x:v>CHATOD-20260714-MCP-CP-MVP-001 / MCP-US-056</x:v>
      </x:c>
    </x:row>
    <x:row r="61" ht="38" customHeight="1">
      <x:c r="A61" s="25" t="str">
        <x:v>MCP-US-057</x:v>
      </x:c>
      <x:c r="B61" s="25" t="str">
        <x:v>MCP-EPIC-008</x:v>
      </x:c>
      <x:c r="C61" s="25" t="str">
        <x:v>MVP Release Candidate And Demo</x:v>
      </x:c>
      <x:c r="D61" s="25" t="str">
        <x:v>QA/Release</x:v>
      </x:c>
      <x:c r="E61" s="25" t="str">
        <x:v>Must</x:v>
      </x:c>
      <x:c r="F61" s="25" t="str">
        <x:v>Backlog</x:v>
      </x:c>
      <x:c r="G61" s="25" t="str">
        <x:v>Release train</x:v>
      </x:c>
      <x:c r="H61" s="25" t="str">
        <x:v>MVP</x:v>
      </x:c>
      <x:c r="I61" s="66" t="n">
        <x:v>5</x:v>
      </x:c>
      <x:c r="J61" s="25" t="str">
        <x:v>Alle MVP-stories</x:v>
      </x:c>
      <x:c r="K61" s="25" t="str">
        <x:v>Tag, release notes, bekende beperkings en demo is gereed</x:v>
      </x:c>
      <x:c r="L61" s="25" t="str">
        <x:v>CHATOD-20260714-MCP-CP-MVP-001 / MCP-US-057</x:v>
      </x:c>
    </x:row>
    <x:row r="62" ht="34" customHeight="1">
      <x:c r="A62" s="70" t="str">
        <x:v>MCP-US-058</x:v>
      </x:c>
      <x:c r="B62" s="70" t="str">
        <x:v>MCP-EPIC-002</x:v>
      </x:c>
      <x:c r="C62" s="70" t="str">
        <x:v>Guitar MIDI Bend And Slide Event Semantics</x:v>
      </x:c>
      <x:c r="D62" s="70" t="str">
        <x:v>MIDI Engineer</x:v>
      </x:c>
      <x:c r="E62" s="76" t="str">
        <x:v>Must</x:v>
      </x:c>
      <x:c r="F62" s="70" t="str">
        <x:v>Backlog</x:v>
      </x:c>
      <x:c r="G62" s="70" t="str">
        <x:v>Sprint 4</x:v>
      </x:c>
      <x:c r="H62" s="70" t="str">
        <x:v>MVP</x:v>
      </x:c>
      <x:c r="I62" s="77" t="n">
        <x:v>5</x:v>
      </x:c>
      <x:c r="J62" t="str">
        <x:v>US-008, US-010</x:v>
      </x:c>
      <x:c r="K62" t="str">
        <x:v>Multi-kanaal note en per-kanaal bends behou onafhanklike string/slide-semantiek met konfigureerbare bend range</x:v>
      </x:c>
      <x:c r="L62" t="str">
        <x:v>CHATOD-20260714-MCP-CP-MVP-001 / MCP-US-058</x:v>
      </x:c>
    </x:row>
    <x:row r="63" ht="34" customHeight="1">
      <x:c r="A63" s="74" t="str">
        <x:v>MCP-US-059</x:v>
      </x:c>
      <x:c r="B63" s="74" t="str">
        <x:v>MCP-EPIC-008</x:v>
      </x:c>
      <x:c r="C63" s="74" t="str">
        <x:v>MIDI Guitar Hardware Acceptance</x:v>
      </x:c>
      <x:c r="D63" s="74" t="str">
        <x:v>QA/Release</x:v>
      </x:c>
      <x:c r="E63" s="76" t="str">
        <x:v>Must</x:v>
      </x:c>
      <x:c r="F63" s="74" t="str">
        <x:v>Backlog</x:v>
      </x:c>
      <x:c r="G63" s="74" t="str">
        <x:v>Release train</x:v>
      </x:c>
      <x:c r="H63" s="74" t="str">
        <x:v>MVP</x:v>
      </x:c>
      <x:c r="I63" s="78" t="n">
        <x:v>5</x:v>
      </x:c>
      <x:c r="J63" t="str">
        <x:v>US-018, US-058</x:v>
      </x:c>
      <x:c r="K63" t="str">
        <x:v>'n Generiese MIDI-kitaar en Fishman-verwysing speel note, akkoorde, bends en slides; geen toestelnaam is 'n kodekonstante nie</x:v>
      </x:c>
      <x:c r="L63" t="str">
        <x:v>CHATOD-20260714-MCP-CP-MVP-001 / MCP-US-059</x:v>
      </x:c>
    </x:row>
    <x:row r="64" ht="34" customHeight="1">
      <x:c r="A64" t="str">
        <x:v>MCP-US-060</x:v>
      </x:c>
      <x:c r="B64" t="str">
        <x:v>MCP-EPIC-008</x:v>
      </x:c>
      <x:c r="C64" t="str">
        <x:v>Standalone External MIDI Host Acceptance</x:v>
      </x:c>
      <x:c r="D64" t="str">
        <x:v>QA/Release</x:v>
      </x:c>
      <x:c r="E64" t="str">
        <x:v>Must</x:v>
      </x:c>
      <x:c r="F64" t="str">
        <x:v>Backlog</x:v>
      </x:c>
      <x:c r="G64" t="str">
        <x:v>Release train</x:v>
      </x:c>
      <x:c r="H64" t="str">
        <x:v>MVP</x:v>
      </x:c>
      <x:c r="I64" t="n">
        <x:v>5</x:v>
      </x:c>
      <x:c r="J64" t="str">
        <x:v>US-013, US-017</x:v>
      </x:c>
      <x:c r="K64" t="str">
        <x:v>Controller na Raspberry Pi/eksterne USB-host na DIN/UART lewer note, bend en clock sonder DAW</x:v>
      </x:c>
      <x:c r="L64" t="str">
        <x:v>CHATOD-20260714-MCP-CP-MVP-001 / MIDI-TRANSPORT-MULTICORE-AMENDMENT-001 / MCP-US-060</x:v>
      </x:c>
    </x:row>
    <x:row r="65" ht="34" customHeight="1">
      <x:c r="A65" t="str">
        <x:v>MCP-US-061</x:v>
      </x:c>
      <x:c r="B65" t="str">
        <x:v>MCP-EPIC-006</x:v>
      </x:c>
      <x:c r="C65" t="str">
        <x:v>Multi-Core Resource Guard And Telemetry</x:v>
      </x:c>
      <x:c r="D65" t="str">
        <x:v>DSP/Chip Engineer</x:v>
      </x:c>
      <x:c r="E65" t="str">
        <x:v>Must</x:v>
      </x:c>
      <x:c r="F65" t="str">
        <x:v>Backlog</x:v>
      </x:c>
      <x:c r="G65" t="str">
        <x:v>MVP-late</x:v>
      </x:c>
      <x:c r="H65" t="str">
        <x:v>MVP-late</x:v>
      </x:c>
      <x:c r="I65" t="n">
        <x:v>5</x:v>
      </x:c>
      <x:c r="J65" t="str">
        <x:v>US-037</x:v>
      </x:c>
      <x:c r="K65" t="str">
        <x:v>Heap, looplatensie en dropout word gemeet; onveilige addisionele kern word deterministies geweier of afgeskakel</x:v>
      </x:c>
      <x:c r="L65" t="str">
        <x:v>CHATOD-20260714-MCP-CP-MVP-001 / MIDI-TRANSPORT-MULTICORE-AMENDMENT-001 / MCP-US-061</x:v>
      </x:c>
    </x:row>
    <x:row r="66" ht="48" customHeight="1">
      <x:c r="A66" s="83" t="str">
        <x:v>MCP-US-062</x:v>
      </x:c>
      <x:c r="B66" s="83" t="str">
        <x:v>MCP-EPIC-002</x:v>
      </x:c>
      <x:c r="C66" s="83" t="str">
        <x:v>BLE MIDI Transport And Capability Gate</x:v>
      </x:c>
      <x:c r="D66" s="83" t="str">
        <x:v>MIDI Engineer</x:v>
      </x:c>
      <x:c r="E66" s="83" t="str">
        <x:v>Must</x:v>
      </x:c>
      <x:c r="F66" s="83" t="str">
        <x:v>Backlog</x:v>
      </x:c>
      <x:c r="G66" s="83" t="str">
        <x:v>Sprint 4</x:v>
      </x:c>
      <x:c r="H66" s="83" t="str">
        <x:v>MVP</x:v>
      </x:c>
      <x:c r="I66" s="83" t="n">
        <x:v>8</x:v>
      </x:c>
      <x:c r="J66" s="83" t="str">
        <x:v>US-006, US-007, US-052</x:v>
      </x:c>
      <x:c r="K66" s="83" t="str">
        <x:v>BLE-bord ontvang Note/CC/bend via dieselfde eventmodel; S2 rapporteer unsupported sonder USB-regressie</x:v>
      </x:c>
      <x:c r="L66" s="83" t="str">
        <x:v>CHATOD-20260714-MCP-CP-MVP-001 / SCOPE-AMENDMENT-002 / MCP-US-062</x:v>
      </x:c>
    </x:row>
    <x:row r="67" ht="48" customHeight="1">
      <x:c r="A67" s="83" t="str">
        <x:v>MCP-US-063</x:v>
      </x:c>
      <x:c r="B67" s="83" t="str">
        <x:v>MCP-EPIC-003</x:v>
      </x:c>
      <x:c r="C67" s="83" t="str">
        <x:v>Portable D1 Baseline Synth Core</x:v>
      </x:c>
      <x:c r="D67" s="83" t="str">
        <x:v>DSP/Chip Engineer</x:v>
      </x:c>
      <x:c r="E67" s="83" t="str">
        <x:v>Must</x:v>
      </x:c>
      <x:c r="F67" s="83" t="str">
        <x:v>Backlog</x:v>
      </x:c>
      <x:c r="G67" s="83" t="str">
        <x:v>Sprint 3</x:v>
      </x:c>
      <x:c r="H67" s="83" t="str">
        <x:v>MVP</x:v>
      </x:c>
      <x:c r="I67" s="83" t="n">
        <x:v>8</x:v>
      </x:c>
      <x:c r="J67" s="83" t="str">
        <x:v>US-006, US-014, US-016</x:v>
      </x:c>
      <x:c r="K67" s="83" t="str">
        <x:v>Nuut-geporteerde sine/saw/square D1-gedrag speel via AudioOutput; geen desktop-backend of produksierepo-wysiging</x:v>
      </x:c>
      <x:c r="L67" s="83" t="str">
        <x:v>CHATOD-20260714-MCP-CP-MVP-001 / SCOPE-AMENDMENT-002 / MCP-US-063</x:v>
      </x:c>
    </x:row>
  </x:sheetData>
  <x:mergeCells>
    <x:mergeCell ref="A1:L1"/>
    <x:mergeCell ref="A2:L2"/>
  </x:mergeCells>
  <x:conditionalFormatting sqref="E5:E61">
    <x:cfRule type="containsText" dxfId="0" priority="1" operator="containsText" text="Must"/>
  </x:conditionalFormatting>
  <x:conditionalFormatting sqref="F5:F61">
    <x:cfRule type="containsText" dxfId="1" priority="2" operator="containsText" text="Done"/>
    <x:cfRule type="containsText" dxfId="2" priority="3" operator="containsText" text="Ready"/>
    <x:cfRule type="containsText" dxfId="3" priority="4" operator="containsText" text="Blocked"/>
  </x:conditionalFormatting>
  <x:dataValidations count="7">
    <x:dataValidation type="list" sqref="E5:E61">
      <x:formula1>"Must,Should,Could,Won't now"</x:formula1>
    </x:dataValidation>
    <x:dataValidation type="list" sqref="F5:F61">
      <x:formula1>"Backlog,Ready,In Progress,Blocked,Review,Done"</x:formula1>
    </x:dataValidation>
    <x:dataValidation type="list" sqref="E62:E63">
      <x:formula1>"Must,Should,Could,Won't now"</x:formula1>
    </x:dataValidation>
    <x:dataValidation type="list" sqref="F62:F63">
      <x:formula1>"Backlog,Ready,In Progress,Review,Done,Impediment"</x:formula1>
    </x:dataValidation>
    <x:dataValidation type="list" sqref="E66:E67">
      <x:formula1>"Must,Should,Could,Won't now"</x:formula1>
    </x:dataValidation>
    <x:dataValidation type="list" sqref="F66:F67">
      <x:formula1>"Backlog,In Progress,In Review,Done,Blocked"</x:formula1>
    </x:dataValidation>
    <x:dataValidation type="list" sqref="F5:F67">
      <x:formula1>"Backlog,Ready,In Progress,Impediment,In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96d68be8d042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56" hidden="0" customWidth="1"/>
  </x:cols>
  <x:sheetData>
    <x:row r="1" ht="32" customHeight="1">
      <x:c r="A1" s="3" t="str">
        <x:v>Epic-oorsig</x:v>
      </x:c>
    </x:row>
    <x:row r="2" ht="28" customHeight="1">
      <x:c r="A2" s="7" t="str">
        <x:v>Formules tel die lewende Backlog; geen handgetelde statusse nie</x:v>
      </x:c>
    </x:row>
    <x:row r="4" ht="28" customHeight="1">
      <x:c r="A4" s="14" t="str">
        <x:v>Epic</x:v>
      </x:c>
      <x:c r="B4" s="40" t="str">
        <x:v>Naam</x:v>
      </x:c>
      <x:c r="C4" s="40" t="str">
        <x:v>Stories</x:v>
      </x:c>
      <x:c r="D4" s="40" t="str">
        <x:v>Must</x:v>
      </x:c>
      <x:c r="E4" s="40" t="str">
        <x:v>Done</x:v>
      </x:c>
      <x:c r="F4" s="15" t="str">
        <x:v>Primêre doel</x:v>
      </x:c>
    </x:row>
    <x:row r="5" ht="32" customHeight="1">
      <x:c r="A5" s="23" t="str">
        <x:v>MCP-EPIC-001</x:v>
      </x:c>
      <x:c r="B5" s="23" t="str">
        <x:v>Platform Foundation</x:v>
      </x:c>
      <x:c r="C5" s="64" t="n">
        <x:f>COUNTIF('Backlog'!$B$5:$B$67,A5)</x:f>
        <x:v>5</x:v>
      </x:c>
      <x:c r="D5" s="64" t="n">
        <x:f>COUNTIFS('Backlog'!$B$5:$B$67,A5,'Backlog'!$E$5:$E$67,"Must")</x:f>
        <x:v>4</x:v>
      </x:c>
      <x:c r="E5" s="64" t="n">
        <x:f>COUNTIFS('Backlog'!$B$5:$B$67,A5,'Backlog'!$F$5:$F$67,"Done")</x:f>
        <x:v>3</x:v>
      </x:c>
      <x:c r="F5" s="23" t="str">
        <x:v>Veilige, draagbare basis en konfigurasiegrens</x:v>
      </x:c>
    </x:row>
    <x:row r="6" ht="32" customHeight="1">
      <x:c r="A6" s="24" t="str">
        <x:v>MCP-EPIC-002</x:v>
      </x:c>
      <x:c r="B6" s="24" t="str">
        <x:v>MIDI And Clock</x:v>
      </x:c>
      <x:c r="C6" s="65" t="n">
        <x:f>COUNTIF('Backlog'!$B$5:$B$67,A6)</x:f>
        <x:v>10</x:v>
      </x:c>
      <x:c r="D6" s="65" t="n">
        <x:f>COUNTIFS('Backlog'!$B$5:$B$67,A6,'Backlog'!$E$5:$E$67,"Must")</x:f>
        <x:v>10</x:v>
      </x:c>
      <x:c r="E6" s="65" t="n">
        <x:f>COUNTIFS('Backlog'!$B$5:$B$67,A6,'Backlog'!$F$5:$F$67,"Done")</x:f>
        <x:v>0</x:v>
      </x:c>
      <x:c r="F6" s="24" t="str">
        <x:v>USB, BLE en DIN/UART MIDI; guitar slides, kontroles en clock</x:v>
      </x:c>
    </x:row>
    <x:row r="7" ht="32" customHeight="1">
      <x:c r="A7" s="24" t="str">
        <x:v>MCP-EPIC-003</x:v>
      </x:c>
      <x:c r="B7" s="24" t="str">
        <x:v>Audio And Chip Core</x:v>
      </x:c>
      <x:c r="C7" s="65" t="n">
        <x:f>COUNTIF('Backlog'!$B$5:$B$67,A7)</x:f>
        <x:v>9</x:v>
      </x:c>
      <x:c r="D7" s="65" t="n">
        <x:f>COUNTIFS('Backlog'!$B$5:$B$67,A7,'Backlog'!$E$5:$E$67,"Must")</x:f>
        <x:v>9</x:v>
      </x:c>
      <x:c r="E7" s="65" t="n">
        <x:f>COUNTIFS('Backlog'!$B$5:$B$67,A7,'Backlog'!$F$5:$F$67,"Done")</x:f>
        <x:v>0</x:v>
      </x:c>
      <x:c r="F7" s="24" t="str">
        <x:v>MAX98357 mono eerste; D1-basiskern, SN76489 en latere stereo</x:v>
      </x:c>
    </x:row>
    <x:row r="8" ht="32" customHeight="1">
      <x:c r="A8" s="24" t="str">
        <x:v>MCP-EPIC-004</x:v>
      </x:c>
      <x:c r="B8" s="24" t="str">
        <x:v>Local Web Control</x:v>
      </x:c>
      <x:c r="C8" s="65" t="n">
        <x:f>COUNTIF('Backlog'!$B$5:$B$67,A8)</x:f>
        <x:v>6</x:v>
      </x:c>
      <x:c r="D8" s="65" t="n">
        <x:f>COUNTIFS('Backlog'!$B$5:$B$67,A8,'Backlog'!$E$5:$E$67,"Must")</x:f>
        <x:v>6</x:v>
      </x:c>
      <x:c r="E8" s="65" t="n">
        <x:f>COUNTIFS('Backlog'!$B$5:$B$67,A8,'Backlog'!$F$5:$F$67,"Done")</x:f>
        <x:v>0</x:v>
      </x:c>
      <x:c r="F8" s="24" t="str">
        <x:v>Mobile-first webbeheer, station-IP, beveiligde AP-fallback en recovery</x:v>
      </x:c>
    </x:row>
    <x:row r="9" ht="32" customHeight="1">
      <x:c r="A9" s="24" t="str">
        <x:v>MCP-EPIC-005</x:v>
      </x:c>
      <x:c r="B9" s="24" t="str">
        <x:v>Files, Harmony And Performance Tools</x:v>
      </x:c>
      <x:c r="C9" s="65" t="n">
        <x:f>COUNTIF('Backlog'!$B$5:$B$67,A9)</x:f>
        <x:v>6</x:v>
      </x:c>
      <x:c r="D9" s="65" t="n">
        <x:f>COUNTIFS('Backlog'!$B$5:$B$67,A9,'Backlog'!$E$5:$E$67,"Must")</x:f>
        <x:v>1</x:v>
      </x:c>
      <x:c r="E9" s="65" t="n">
        <x:f>COUNTIFS('Backlog'!$B$5:$B$67,A9,'Backlog'!$F$5:$F$67,"Done")</x:f>
        <x:v>0</x:v>
      </x:c>
      <x:c r="F9" s="24" t="str">
        <x:v>Lêers, arpeggiasie, akkoorde en patches</x:v>
      </x:c>
    </x:row>
    <x:row r="10" ht="32" customHeight="1">
      <x:c r="A10" s="24" t="str">
        <x:v>MCP-EPIC-006</x:v>
      </x:c>
      <x:c r="B10" s="24" t="str">
        <x:v>Multi-Core Expansion</x:v>
      </x:c>
      <x:c r="C10" s="65" t="n">
        <x:f>COUNTIF('Backlog'!$B$5:$B$67,A10)</x:f>
        <x:v>10</x:v>
      </x:c>
      <x:c r="D10" s="65" t="n">
        <x:f>COUNTIFS('Backlog'!$B$5:$B$67,A10,'Backlog'!$E$5:$E$67,"Must")</x:f>
        <x:v>5</x:v>
      </x:c>
      <x:c r="E10" s="65" t="n">
        <x:f>COUNTIFS('Backlog'!$B$5:$B$67,A10,'Backlog'!$F$5:$F$67,"Done")</x:f>
        <x:v>0</x:v>
      </x:c>
      <x:c r="F10" s="24" t="str">
        <x:v>Uitbreibare registry, SID en OPL-kerne</x:v>
      </x:c>
    </x:row>
    <x:row r="11" ht="32" customHeight="1">
      <x:c r="A11" s="24" t="str">
        <x:v>MCP-EPIC-007</x:v>
      </x:c>
      <x:c r="B11" s="24" t="str">
        <x:v>DSP And Pedal Hardware</x:v>
      </x:c>
      <x:c r="C11" s="65" t="n">
        <x:f>COUNTIF('Backlog'!$B$5:$B$67,A11)</x:f>
        <x:v>7</x:v>
      </x:c>
      <x:c r="D11" s="65" t="n">
        <x:f>COUNTIFS('Backlog'!$B$5:$B$67,A11,'Backlog'!$E$5:$E$67,"Must")</x:f>
        <x:v>3</x:v>
      </x:c>
      <x:c r="E11" s="65" t="n">
        <x:f>COUNTIFS('Backlog'!$B$5:$B$67,A11,'Backlog'!$F$5:$F$67,"Done")</x:f>
        <x:v>0</x:v>
      </x:c>
      <x:c r="F11" s="24" t="str">
        <x:v>Laat-MVP DSP en pedaalhardeware</x:v>
      </x:c>
    </x:row>
    <x:row r="12" ht="32" customHeight="1">
      <x:c r="A12" s="25" t="str">
        <x:v>MCP-EPIC-008</x:v>
      </x:c>
      <x:c r="B12" s="25" t="str">
        <x:v>Portability, Quality And Release</x:v>
      </x:c>
      <x:c r="C12" s="66" t="n">
        <x:f>COUNTIF('Backlog'!$B$5:$B$67,A12)</x:f>
        <x:v>10</x:v>
      </x:c>
      <x:c r="D12" s="66" t="n">
        <x:f>COUNTIFS('Backlog'!$B$5:$B$67,A12,'Backlog'!$E$5:$E$67,"Must")</x:f>
        <x:v>9</x:v>
      </x:c>
      <x:c r="E12" s="66" t="n">
        <x:f>COUNTIFS('Backlog'!$B$5:$B$67,A12,'Backlog'!$F$5:$F$67,"Done")</x:f>
        <x:v>0</x:v>
      </x:c>
      <x:c r="F12" s="25" t="str">
        <x:v>Host/HIL, BLE-tweedebord, kruisplatform en release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5f659091200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4" hidden="0" customWidth="1"/>
    <x:col min="5" max="5" width="18" hidden="0" customWidth="1"/>
    <x:col min="6" max="6" width="62" hidden="0" customWidth="1"/>
    <x:col min="7" max="7" width="20" hidden="0" customWidth="1"/>
  </x:cols>
  <x:sheetData>
    <x:row r="1" ht="32" customHeight="1">
      <x:c r="A1" s="3" t="str">
        <x:v>MVP-risiko-register</x:v>
      </x:c>
    </x:row>
    <x:row r="2" ht="28" customHeight="1">
      <x:c r="A2" s="7" t="str">
        <x:v>28 aktiewe risiko's; MCP-US-004 is geblokkeer op USB-remount ná programmatiese harde reset</x:v>
      </x:c>
    </x:row>
    <x:row r="4" ht="28" customHeight="1">
      <x:c r="A4" s="14" t="str">
        <x:v>ID</x:v>
      </x:c>
      <x:c r="B4" s="40" t="str">
        <x:v>Risiko</x:v>
      </x:c>
      <x:c r="C4" s="40" t="str">
        <x:v>Likelihood</x:v>
      </x:c>
      <x:c r="D4" s="40" t="str">
        <x:v>Impact</x:v>
      </x:c>
      <x:c r="E4" s="40" t="str">
        <x:v>Owner</x:v>
      </x:c>
      <x:c r="F4" s="40" t="str">
        <x:v>Mitigation</x:v>
      </x:c>
      <x:c r="G4" s="15" t="str">
        <x:v>Status</x:v>
      </x:c>
    </x:row>
    <x:row r="5" ht="38" customHeight="1">
      <x:c r="A5" s="23" t="str">
        <x:v>R-001</x:v>
      </x:c>
      <x:c r="B5" s="23" t="str">
        <x:v>Wi-Fi-geheim was in prototipebron</x:v>
      </x:c>
      <x:c r="C5" s="23" t="str">
        <x:v>High</x:v>
      </x:c>
      <x:c r="D5" s="23" t="str">
        <x:v>Critical</x:v>
      </x:c>
      <x:c r="E5" s="23" t="str">
        <x:v>Security/PO</x:v>
      </x:c>
      <x:c r="F5" s="23" t="str">
        <x:v>Roteer wagwoord; private settings.toml; secret scan</x:v>
      </x:c>
      <x:c r="G5" s="23" t="str">
        <x:v>Open - human action</x:v>
      </x:c>
    </x:row>
    <x:row r="6" ht="38" customHeight="1">
      <x:c r="A6" s="24" t="str">
        <x:v>R-002</x:v>
      </x:c>
      <x:c r="B6" s="24" t="str">
        <x:v>ESP32-S2 USB-endpoints kan safe mode veroorsaak</x:v>
      </x:c>
      <x:c r="C6" s="24" t="str">
        <x:v>Medium</x:v>
      </x:c>
      <x:c r="D6" s="24" t="str">
        <x:v>High</x:v>
      </x:c>
      <x:c r="E6" s="24" t="str">
        <x:v>Embedded</x:v>
      </x:c>
      <x:c r="F6" s="24" t="str">
        <x:v>Minimale boot en herstelrunbook</x:v>
      </x:c>
      <x:c r="G6" s="24" t="str">
        <x:v>Open</x:v>
      </x:c>
    </x:row>
    <x:row r="7" ht="38" customHeight="1">
      <x:c r="A7" s="24" t="str">
        <x:v>R-003</x:v>
      </x:c>
      <x:c r="B7" s="24" t="str">
        <x:v>Onbehoorlike VID/PID kan konflik veroorsaak</x:v>
      </x:c>
      <x:c r="C7" s="24" t="str">
        <x:v>Medium</x:v>
      </x:c>
      <x:c r="D7" s="24" t="str">
        <x:v>High</x:v>
      </x:c>
      <x:c r="E7" s="24" t="str">
        <x:v>Release</x:v>
      </x:c>
      <x:c r="F7" s="24" t="str">
        <x:v>Veilige ontwikkelverstek; produk-ID besluit voor release</x:v>
      </x:c>
      <x:c r="G7" s="24" t="str">
        <x:v>Open</x:v>
      </x:c>
    </x:row>
    <x:row r="8" ht="38" customHeight="1">
      <x:c r="A8" s="24" t="str">
        <x:v>R-004</x:v>
      </x:c>
      <x:c r="B8" s="24" t="str">
        <x:v>Busy-wait PWM blokkeer MIDI/web/REPL</x:v>
      </x:c>
      <x:c r="C8" s="24" t="str">
        <x:v>High</x:v>
      </x:c>
      <x:c r="D8" s="24" t="str">
        <x:v>High</x:v>
      </x:c>
      <x:c r="E8" s="24" t="str">
        <x:v>DSP/Embedded</x:v>
      </x:c>
      <x:c r="F8" s="24" t="str">
        <x:v>Scheduler, jittermeting en I2S-spike</x:v>
      </x:c>
      <x:c r="G8" s="24" t="str">
        <x:v>Open</x:v>
      </x:c>
    </x:row>
    <x:row r="9" ht="38" customHeight="1">
      <x:c r="A9" s="24" t="str">
        <x:v>R-005</x:v>
      </x:c>
      <x:c r="B9" s="24" t="str">
        <x:v>I2S verskil per bordbou en penprofiel</x:v>
      </x:c>
      <x:c r="C9" s="24" t="str">
        <x:v>Medium</x:v>
      </x:c>
      <x:c r="D9" s="24" t="str">
        <x:v>High</x:v>
      </x:c>
      <x:c r="E9" s="24" t="str">
        <x:v>Embedded</x:v>
      </x:c>
      <x:c r="F9" s="24" t="str">
        <x:v>US-004 bevestig IO5/IO3/IO7 en audiobusio; MAX98357 klank-HIL volg in US-016</x:v>
      </x:c>
      <x:c r="G9" s="24" t="str">
        <x:v>Controlled</x:v>
      </x:c>
    </x:row>
    <x:row r="10" ht="38" customHeight="1">
      <x:c r="A10" s="24" t="str">
        <x:v>R-006</x:v>
      </x:c>
      <x:c r="B10" s="24" t="str">
        <x:v>Webserver gebruik te veel RAM of sokke</x:v>
      </x:c>
      <x:c r="C10" s="24" t="str">
        <x:v>High</x:v>
      </x:c>
      <x:c r="D10" s="24" t="str">
        <x:v>High</x:v>
      </x:c>
      <x:c r="E10" s="24" t="str">
        <x:v>Web/QA</x:v>
      </x:c>
      <x:c r="F10" s="24" t="str">
        <x:v>Een kliënt, klein bates, heapmeting</x:v>
      </x:c>
      <x:c r="G10" s="24" t="str">
        <x:v>Open</x:v>
      </x:c>
    </x:row>
    <x:row r="11" ht="38" customHeight="1">
      <x:c r="A11" s="24" t="str">
        <x:v>R-007</x:v>
      </x:c>
      <x:c r="B11" s="24" t="str">
        <x:v>Universele bordondersteuning word oorgeclaim</x:v>
      </x:c>
      <x:c r="C11" s="24" t="str">
        <x:v>High</x:v>
      </x:c>
      <x:c r="D11" s="24" t="str">
        <x:v>High</x:v>
      </x:c>
      <x:c r="E11" s="24" t="str">
        <x:v>Architect</x:v>
      </x:c>
      <x:c r="F11" s="24" t="str">
        <x:v>Profiele en tweede-bord-bewys</x:v>
      </x:c>
      <x:c r="G11" s="24" t="str">
        <x:v>Controlled</x:v>
      </x:c>
    </x:row>
    <x:row r="12" ht="38" customHeight="1">
      <x:c r="A12" s="24" t="str">
        <x:v>R-008</x:v>
      </x:c>
      <x:c r="B12" s="24" t="str">
        <x:v>Pi Linux en CircuitPython firmware word vermeng</x:v>
      </x:c>
      <x:c r="C12" s="24" t="str">
        <x:v>Medium</x:v>
      </x:c>
      <x:c r="D12" s="24" t="str">
        <x:v>Medium</x:v>
      </x:c>
      <x:c r="E12" s="24" t="str">
        <x:v>Architect</x:v>
      </x:c>
      <x:c r="F12" s="24" t="str">
        <x:v>Afsonderlike Blinka adapter</x:v>
      </x:c>
      <x:c r="G12" s="24" t="str">
        <x:v>Controlled</x:v>
      </x:c>
    </x:row>
    <x:row r="13" ht="38" customHeight="1">
      <x:c r="A13" s="24" t="str">
        <x:v>R-009</x:v>
      </x:c>
      <x:c r="B13" s="24" t="str">
        <x:v>Multi-core oorskry CPU/RAM</x:v>
      </x:c>
      <x:c r="C13" s="24" t="str">
        <x:v>High</x:v>
      </x:c>
      <x:c r="D13" s="24" t="str">
        <x:v>High</x:v>
      </x:c>
      <x:c r="E13" s="24" t="str">
        <x:v>DSP</x:v>
      </x:c>
      <x:c r="F13" s="24" t="str">
        <x:v>Een kern eerste; twee verskillende kerne slegs na resource gate en MCP-US-061 telemetry</x:v>
      </x:c>
      <x:c r="G13" s="24" t="str">
        <x:v>Open</x:v>
      </x:c>
    </x:row>
    <x:row r="14" ht="38" customHeight="1">
      <x:c r="A14" s="24" t="str">
        <x:v>R-010</x:v>
      </x:c>
      <x:c r="B14" s="24" t="str">
        <x:v>SID/OPL lisensie of akkuraatheidsaansprake</x:v>
      </x:c>
      <x:c r="C14" s="24" t="str">
        <x:v>Medium</x:v>
      </x:c>
      <x:c r="D14" s="24" t="str">
        <x:v>High</x:v>
      </x:c>
      <x:c r="E14" s="24" t="str">
        <x:v>Release/PO</x:v>
      </x:c>
      <x:c r="F14" s="24" t="str">
        <x:v>Lisensieregister en eerlike accuracy level</x:v>
      </x:c>
      <x:c r="G14" s="24" t="str">
        <x:v>Open</x:v>
      </x:c>
    </x:row>
    <x:row r="15" ht="38" customHeight="1">
      <x:c r="A15" s="24" t="str">
        <x:v>R-011</x:v>
      </x:c>
      <x:c r="B15" s="24" t="str">
        <x:v>24 PPQN clock oorlaai MIDI-lus</x:v>
      </x:c>
      <x:c r="C15" s="24" t="str">
        <x:v>Medium</x:v>
      </x:c>
      <x:c r="D15" s="24" t="str">
        <x:v>High</x:v>
      </x:c>
      <x:c r="E15" s="24" t="str">
        <x:v>MIDI</x:v>
      </x:c>
      <x:c r="F15" s="24" t="str">
        <x:v>Prioriteitsry en jittertoetse</x:v>
      </x:c>
      <x:c r="G15" s="24" t="str">
        <x:v>Open</x:v>
      </x:c>
    </x:row>
    <x:row r="16" ht="38" customHeight="1">
      <x:c r="A16" s="24" t="str">
        <x:v>R-012</x:v>
      </x:c>
      <x:c r="B16" s="24" t="str">
        <x:v>Dedupe verwyder geldige note/clock</x:v>
      </x:c>
      <x:c r="C16" s="24" t="str">
        <x:v>Medium</x:v>
      </x:c>
      <x:c r="D16" s="24" t="str">
        <x:v>High</x:v>
      </x:c>
      <x:c r="E16" s="24" t="str">
        <x:v>MIDI/QA</x:v>
      </x:c>
      <x:c r="F16" s="24" t="str">
        <x:v>Boodskapspesifieke dedupe</x:v>
      </x:c>
      <x:c r="G16" s="24" t="str">
        <x:v>Open</x:v>
      </x:c>
    </x:row>
    <x:row r="17" ht="38" customHeight="1">
      <x:c r="A17" s="24" t="str">
        <x:v>R-013</x:v>
      </x:c>
      <x:c r="B17" s="24" t="str">
        <x:v>MAX98357 bridge-tied uitset word geaard of as line-out gebruik</x:v>
      </x:c>
      <x:c r="C17" s="24" t="str">
        <x:v>Medium</x:v>
      </x:c>
      <x:c r="D17" s="24" t="str">
        <x:v>Critical</x:v>
      </x:c>
      <x:c r="E17" s="24" t="str">
        <x:v>Hardware</x:v>
      </x:c>
      <x:c r="F17" s="24" t="str">
        <x:v>Luidspreker tussen + en -; geen grond/line-input; HIL checklist</x:v>
      </x:c>
      <x:c r="G17" s="24" t="str">
        <x:v>Open</x:v>
      </x:c>
    </x:row>
    <x:row r="18" ht="38" customHeight="1">
      <x:c r="A18" s="24" t="str">
        <x:v>R-014</x:v>
      </x:c>
      <x:c r="B18" s="24" t="str">
        <x:v>DSP oorskry geheue/latensie</x:v>
      </x:c>
      <x:c r="C18" s="24" t="str">
        <x:v>High</x:v>
      </x:c>
      <x:c r="D18" s="24" t="str">
        <x:v>High</x:v>
      </x:c>
      <x:c r="E18" s="24" t="str">
        <x:v>DSP</x:v>
      </x:c>
      <x:c r="F18" s="24" t="str">
        <x:v>Harde begroting en bypass</x:v>
      </x:c>
      <x:c r="G18" s="24" t="str">
        <x:v>Open</x:v>
      </x:c>
    </x:row>
    <x:row r="19" ht="38" customHeight="1">
      <x:c r="A19" s="24" t="str">
        <x:v>R-015</x:v>
      </x:c>
      <x:c r="B19" s="24" t="str">
        <x:v>Deploy beskadig bestaande prototipe</x:v>
      </x:c>
      <x:c r="C19" s="24" t="str">
        <x:v>Low</x:v>
      </x:c>
      <x:c r="D19" s="24" t="str">
        <x:v>Critical</x:v>
      </x:c>
      <x:c r="E19" s="24" t="str">
        <x:v>QA/Release</x:v>
      </x:c>
      <x:c r="F19" s="24" t="str">
        <x:v>Backup, manifest en dry-run</x:v>
      </x:c>
      <x:c r="G19" s="24" t="str">
        <x:v>Controlled</x:v>
      </x:c>
    </x:row>
    <x:row r="20" ht="38" customHeight="1">
      <x:c r="A20" s="24" t="str">
        <x:v>R-016</x:v>
      </x:c>
      <x:c r="B20" s="24" t="str">
        <x:v>Side quests breek storyvolgorde</x:v>
      </x:c>
      <x:c r="C20" s="24" t="str">
        <x:v>High</x:v>
      </x:c>
      <x:c r="D20" s="24" t="str">
        <x:v>Medium</x:v>
      </x:c>
      <x:c r="E20" s="24" t="str">
        <x:v>Scrum</x:v>
      </x:c>
      <x:c r="F20" s="24" t="str">
        <x:v>Now/Next/Later/Parking Lot</x:v>
      </x:c>
      <x:c r="G20" s="24" t="str">
        <x:v>Controlled</x:v>
      </x:c>
    </x:row>
    <x:row r="21" ht="38" customHeight="1">
      <x:c r="A21" s="24" t="str">
        <x:v>R-017</x:v>
      </x:c>
      <x:c r="B21" s="24" t="str">
        <x:v>Plaaslike LLM lewer onbetroubare kode</x:v>
      </x:c>
      <x:c r="C21" s="24" t="str">
        <x:v>Medium</x:v>
      </x:c>
      <x:c r="D21" s="24" t="str">
        <x:v>Medium</x:v>
      </x:c>
      <x:c r="E21" s="24" t="str">
        <x:v>QA</x:v>
      </x:c>
      <x:c r="F21" s="24" t="str">
        <x:v>Klein take na overleg; Codex review</x:v>
      </x:c>
      <x:c r="G21" s="24" t="str">
        <x:v>Open</x:v>
      </x:c>
    </x:row>
    <x:row r="22" ht="38" customHeight="1">
      <x:c r="A22" s="25" t="str">
        <x:v>R-018</x:v>
      </x:c>
      <x:c r="B22" s="25" t="str">
        <x:v>Private rugsteun word gepubliseer</x:v>
      </x:c>
      <x:c r="C22" s="25" t="str">
        <x:v>Low</x:v>
      </x:c>
      <x:c r="D22" s="25" t="str">
        <x:v>Critical</x:v>
      </x:c>
      <x:c r="E22" s="25" t="str">
        <x:v>Release</x:v>
      </x:c>
      <x:c r="F22" s="25" t="str">
        <x:v>Buite repo, beperkte regte, pre-commit check</x:v>
      </x:c>
      <x:c r="G22" s="25" t="str">
        <x:v>Controlled</x:v>
      </x:c>
    </x:row>
    <x:row r="23" ht="40" customHeight="1">
      <x:c r="A23" s="82" t="str">
        <x:v>R-019</x:v>
      </x:c>
      <x:c r="B23" s="82" t="str">
        <x:v>MIDI-kitaar bend range/kanaalmodus maak slides vals</x:v>
      </x:c>
      <x:c r="C23" s="82" t="str">
        <x:v>High</x:v>
      </x:c>
      <x:c r="D23" s="82" t="str">
        <x:v>High</x:v>
      </x:c>
      <x:c r="E23" s="82" t="str">
        <x:v>MIDI/QA</x:v>
      </x:c>
      <x:c r="F23" s="82" t="str">
        <x:v>Configurable bend range, per-channel state en guitar HIL</x:v>
      </x:c>
      <x:c r="G23" s="82" t="str">
        <x:v>Open</x:v>
      </x:c>
    </x:row>
    <x:row r="24" ht="40" customHeight="1">
      <x:c r="A24" t="str">
        <x:v>R-020</x:v>
      </x:c>
      <x:c r="B24" t="str">
        <x:v>USB-host en USB-device rolle word verwar</x:v>
      </x:c>
      <x:c r="C24" t="str">
        <x:v>High</x:v>
      </x:c>
      <x:c r="D24" t="str">
        <x:v>High</x:v>
      </x:c>
      <x:c r="E24" t="str">
        <x:v>Architect/MIDI</x:v>
      </x:c>
      <x:c r="F24" t="str">
        <x:v>Dokumenteer controller-host-device-DIN-ketting en toets sonder DAW</x:v>
      </x:c>
      <x:c r="G24" t="str">
        <x:v>Open</x:v>
      </x:c>
    </x:row>
    <x:row r="25" ht="40" customHeight="1">
      <x:c r="A25" t="str">
        <x:v>R-021</x:v>
      </x:c>
      <x:c r="B25" t="str">
        <x:v>Device-proof publiseer UID, MAC, SSID of geheime</x:v>
      </x:c>
      <x:c r="C25" t="str">
        <x:v>Medium</x:v>
      </x:c>
      <x:c r="D25" t="str">
        <x:v>Critical</x:v>
      </x:c>
      <x:c r="E25" t="str">
        <x:v>QA/Release</x:v>
      </x:c>
      <x:c r="F25" t="str">
        <x:v>Drievlak-bewys word geredigeer; private rugsteun buite Git</x:v>
      </x:c>
      <x:c r="G25" t="str">
        <x:v>Controlled</x:v>
      </x:c>
    </x:row>
    <x:row r="26" ht="48" customHeight="1">
      <x:c r="A26" s="83" t="str">
        <x:v>R-022</x:v>
      </x:c>
      <x:c r="B26" s="83" t="str">
        <x:v>Eksterne USB-host ondersteun nie die betrokke controller of bend/clock-boodskap nie</x:v>
      </x:c>
      <x:c r="C26" s="83" t="str">
        <x:v>Medium</x:v>
      </x:c>
      <x:c r="D26" s="83" t="str">
        <x:v>High</x:v>
      </x:c>
      <x:c r="E26" s="83" t="str">
        <x:v>MIDI/QA</x:v>
      </x:c>
      <x:c r="F26" s="83" t="str">
        <x:v>Compatibility matrix; generiese plus Fishman HIL; geen handelsnaamwaarborg sonder toets nie</x:v>
      </x:c>
      <x:c r="G26" s="83" t="str">
        <x:v>Open</x:v>
      </x:c>
    </x:row>
    <x:row r="27" ht="48" customHeight="1">
      <x:c r="A27" s="83" t="str">
        <x:v>R-023</x:v>
      </x:c>
      <x:c r="B27" s="83" t="str">
        <x:v>BLE-MIDI is Must, maar die primere ESP32-S2 het geen native BLE nie</x:v>
      </x:c>
      <x:c r="C27" s="83" t="str">
        <x:v>High</x:v>
      </x:c>
      <x:c r="D27" s="83" t="str">
        <x:v>High</x:v>
      </x:c>
      <x:c r="E27" s="83" t="str">
        <x:v>Architect/Embedded</x:v>
      </x:c>
      <x:c r="F27" s="83" t="str">
        <x:v>Capability gate; tweede BLE-bordprofiel in US-052 en positiewe HIL in US-062</x:v>
      </x:c>
      <x:c r="G27" s="83" t="str">
        <x:v>Controlled</x:v>
      </x:c>
    </x:row>
    <x:row r="28" ht="48" customHeight="1">
      <x:c r="A28" s="83" t="str">
        <x:v>R-024</x:v>
      </x:c>
      <x:c r="B28" s="83" t="str">
        <x:v>Herhaalde macOS host-MIDI-scan abort in python-rtmidi/CoreMIDI</x:v>
      </x:c>
      <x:c r="C28" s="83" t="str">
        <x:v>High</x:v>
      </x:c>
      <x:c r="D28" s="83" t="str">
        <x:v>Medium</x:v>
      </x:c>
      <x:c r="E28" s="83" t="str">
        <x:v>QA/Tooling</x:v>
      </x:c>
      <x:c r="F28" s="83" t="str">
        <x:v>Geen herhaalde in-proses scan; toekomstige host-scan in subprocess; device logs vir firmware-HIL</x:v>
      </x:c>
      <x:c r="G28" s="83" t="str">
        <x:v>Open - host impediment</x:v>
      </x:c>
    </x:row>
    <x:row r="29" ht="48" customHeight="1">
      <x:c r="A29" s="83" t="str">
        <x:v>R-025</x:v>
      </x:c>
      <x:c r="B29" s="83" t="str">
        <x:v>MIDI-HIL hang of faal deur poortkonflik met Thonny of serial monitor</x:v>
      </x:c>
      <x:c r="C29" s="83" t="str">
        <x:v>Medium</x:v>
      </x:c>
      <x:c r="D29" s="83" t="str">
        <x:v>High</x:v>
      </x:c>
      <x:c r="E29" s="83" t="str">
        <x:v>QA/HIL</x:v>
      </x:c>
      <x:c r="F29" s="83" t="str">
        <x:v>Preflight poorte; een REPL-klient; timeout, cleanup en herstelpad</x:v>
      </x:c>
      <x:c r="G29" s="83" t="str">
        <x:v>Open</x:v>
      </x:c>
    </x:row>
    <x:row r="30" ht="52" customHeight="1">
      <x:c r="A30" s="83" t="str">
        <x:v>R-026</x:v>
      </x:c>
      <x:c r="B30" s="83" t="str">
        <x:v>Fallback access point is oop, voorspelbaar of lek credentials/klientidentiteit</x:v>
      </x:c>
      <x:c r="C30" s="83" t="str">
        <x:v>Medium</x:v>
      </x:c>
      <x:c r="D30" s="83" t="str">
        <x:v>Critical</x:v>
      </x:c>
      <x:c r="E30" s="83" t="str">
        <x:v>Security/Web</x:v>
      </x:c>
      <x:c r="F30" s="83" t="str">
        <x:v>Beveiligde AP; private provisioning; geen geheime, MAC's of unieke ID's in logs/repo</x:v>
      </x:c>
      <x:c r="G30" s="83" t="str">
        <x:v>Open</x:v>
      </x:c>
    </x:row>
    <x:row r="31" ht="52" customHeight="1">
      <x:c r="A31" s="83" t="str">
        <x:v>R-027</x:v>
      </x:c>
      <x:c r="B31" s="83" t="str">
        <x:v>Onbegrensde join/reconnect, HTTP polling of debuglogging veroorsaak dropout, RAM-druk of flashslytasie</x:v>
      </x:c>
      <x:c r="C31" s="83" t="str">
        <x:v>High</x:v>
      </x:c>
      <x:c r="D31" s="83" t="str">
        <x:v>High</x:v>
      </x:c>
      <x:c r="E31" s="83" t="str">
        <x:v>Embedded/Web/QA</x:v>
      </x:c>
      <x:c r="F31" s="83" t="str">
        <x:v>Timeout/backoff; cooperative poll; een klient; debug af; koersbegrensde serial logging; geen normale flashlog</x:v>
      </x:c>
      <x:c r="G31" s="83" t="str">
        <x:v>Open</x:v>
      </x:c>
    </x:row>
    <x:row r="32" ht="44" customHeight="1">
      <x:c r="A32" s="83" t="str">
        <x:v>R-028</x:v>
      </x:c>
      <x:c r="B32" s="83" t="str">
        <x:v>Programmatiese harde reset laat USB sonder CIRCUITPY/CDC-herenumerasie</x:v>
      </x:c>
      <x:c r="C32" s="83" t="str">
        <x:v>Medium</x:v>
      </x:c>
      <x:c r="D32" s="83" t="str">
        <x:v>High</x:v>
      </x:c>
      <x:c r="E32" s="83" t="str">
        <x:v>Embedded/QA</x:v>
      </x:c>
      <x:c r="F32" s="83" t="str">
        <x:v>Fisiese power-cycle; recovery-runbook; blokkeer story tot volume, REPL, bootbanner en manifest-HIL herstel</x:v>
      </x:c>
      <x:c r="G32" s="83" t="str">
        <x:v>Open - US-004 impediment</x:v>
      </x:c>
    </x:row>
  </x:sheetData>
  <x:mergeCells>
    <x:mergeCell ref="A1:G1"/>
    <x:mergeCell ref="A2:G2"/>
  </x:mergeCells>
  <x:conditionalFormatting sqref="D5:D22">
    <x:cfRule type="containsText" dxfId="4" priority="1" operator="containsText" text="Critical"/>
  </x:conditionalFormatting>
  <x:conditionalFormatting sqref="G5:G22">
    <x:cfRule type="containsText" dxfId="5" priority="2" operator="containsText" text="Closed"/>
  </x:conditionalFormatting>
  <x:dataValidations count="4">
    <x:dataValidation type="list" sqref="G5:G22">
      <x:formula1>"Open,Open - human action,Controlled,Closed"</x:formula1>
    </x:dataValidation>
    <x:dataValidation type="list" sqref="G23">
      <x:formula1>"Open,Controlled,Open - human action,Closed"</x:formula1>
    </x:dataValidation>
    <x:dataValidation type="list" sqref="G27:G29">
      <x:formula1>"Open,Controlled,Closed,Open - human action,Open - host impediment"</x:formula1>
    </x:dataValidation>
    <x:dataValidation type="list" sqref="G30:G31">
      <x:formula1>"Open,Controlled,Closed,Open - human action,Open - host impediment"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3290166854d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5" hidden="0" customWidth="1"/>
    <x:col min="3" max="3" width="52" hidden="0" customWidth="1"/>
  </x:cols>
  <x:sheetData>
    <x:row r="1" ht="32" customHeight="1">
      <x:c r="A1" s="3" t="str">
        <x:v>Virtuele span - verpligte inset</x:v>
      </x:c>
    </x:row>
    <x:row r="2" ht="28" customHeight="1">
      <x:c r="A2" s="7" t="str">
        <x:v>Elke interne rol gee 'n sigbare bydrae; Copilot adviseer as eksterne reviewer; PO bly finale aanvaarder</x:v>
      </x:c>
    </x:row>
    <x:row r="4" ht="28" customHeight="1">
      <x:c r="A4" s="14" t="str">
        <x:v>Rol</x:v>
      </x:c>
      <x:c r="B4" s="40" t="str">
        <x:v>Verantwoordelikheid</x:v>
      </x:c>
      <x:c r="C4" s="15" t="str">
        <x:v>Verpligte inset per story</x:v>
      </x:c>
    </x:row>
    <x:row r="5" ht="36" customHeight="1">
      <x:c r="A5" s="23" t="str">
        <x:v>Sales/Discovery</x:v>
      </x:c>
      <x:c r="B5" s="23" t="str">
        <x:v>Waarde, gebruiker, begroting</x:v>
      </x:c>
      <x:c r="C5" s="23" t="str">
        <x:v>Waardehipotese en demo-uitkoms</x:v>
      </x:c>
    </x:row>
    <x:row r="6" ht="36" customHeight="1">
      <x:c r="A6" s="24" t="str">
        <x:v>Business Analyst</x:v>
      </x:c>
      <x:c r="B6" s="24" t="str">
        <x:v>Vloei, omvang, aannames</x:v>
      </x:c>
      <x:c r="C6" s="24" t="str">
        <x:v>Story, kriteria en nie-doelwitte</x:v>
      </x:c>
    </x:row>
    <x:row r="7" ht="36" customHeight="1">
      <x:c r="A7" s="24" t="str">
        <x:v>Product Owner</x:v>
      </x:c>
      <x:c r="B7" s="24" t="str">
        <x:v>Prioriteit en aanvaarding</x:v>
      </x:c>
      <x:c r="C7" s="24" t="str">
        <x:v>Ready/accept/reject</x:v>
      </x:c>
    </x:row>
    <x:row r="8" ht="36" customHeight="1">
      <x:c r="A8" s="24" t="str">
        <x:v>Scrum Master</x:v>
      </x:c>
      <x:c r="B8" s="24" t="str">
        <x:v>Volgorde en impediments</x:v>
      </x:c>
      <x:c r="C8" s="24" t="str">
        <x:v>Now/Next/Later en blocker</x:v>
      </x:c>
    </x:row>
    <x:row r="9" ht="36" customHeight="1">
      <x:c r="A9" s="24" t="str">
        <x:v>Solution Architect</x:v>
      </x:c>
      <x:c r="B9" s="24" t="str">
        <x:v>Poorte, ADR en portabiliteit</x:v>
      </x:c>
      <x:c r="C9" s="24" t="str">
        <x:v>Ontwerpresensie en trade-off</x:v>
      </x:c>
    </x:row>
    <x:row r="10" ht="36" customHeight="1">
      <x:c r="A10" s="24" t="str">
        <x:v>Embedded Engineer</x:v>
      </x:c>
      <x:c r="B10" s="24" t="str">
        <x:v>Boot, bord, penne, geheue</x:v>
      </x:c>
      <x:c r="C10" s="24" t="str">
        <x:v>Bordimpak en herstelpad</x:v>
      </x:c>
    </x:row>
    <x:row r="11" ht="36" customHeight="1">
      <x:c r="A11" s="24" t="str">
        <x:v>MIDI Engineer</x:v>
      </x:c>
      <x:c r="B11" s="24" t="str">
        <x:v>MIDI, kanale, clock, controls</x:v>
      </x:c>
      <x:c r="C11" s="24" t="str">
        <x:v>Kontrakte en randgevalle</x:v>
      </x:c>
    </x:row>
    <x:row r="12" ht="36" customHeight="1">
      <x:c r="A12" s="24" t="str">
        <x:v>DSP/Chip Engineer</x:v>
      </x:c>
      <x:c r="B12" s="24" t="str">
        <x:v>Kern, voices, audio, DSP</x:v>
      </x:c>
      <x:c r="C12" s="24" t="str">
        <x:v>CPU/RAM/latensie/akkuraatheid</x:v>
      </x:c>
    </x:row>
    <x:row r="13" ht="36" customHeight="1">
      <x:c r="A13" s="24" t="str">
        <x:v>Web Engineer</x:v>
      </x:c>
      <x:c r="B13" s="24" t="str">
        <x:v>Plaaslike UI en scheduling</x:v>
      </x:c>
      <x:c r="C13" s="24" t="str">
        <x:v>UI-vloei en bronimpak</x:v>
      </x:c>
    </x:row>
    <x:row r="14" ht="36" customHeight="1">
      <x:c r="A14" s="24" t="str">
        <x:v>QA/HIL Engineer</x:v>
      </x:c>
      <x:c r="B14" s="24" t="str">
        <x:v>Rooi/groen en instrumentmeting</x:v>
      </x:c>
      <x:c r="C14" s="24" t="str">
        <x:v>Toetsmatriks en bewys</x:v>
      </x:c>
    </x:row>
    <x:row r="15" ht="36" customHeight="1">
      <x:c r="A15" s="25" t="str">
        <x:v>Release/Documentation</x:v>
      </x:c>
      <x:c r="B15" s="25" t="str">
        <x:v>Git, installasie en traceability</x:v>
      </x:c>
      <x:c r="C15" s="25" t="str">
        <x:v>Publikasiehek en docs</x:v>
      </x:c>
    </x:row>
    <x:row r="16" ht="38" customHeight="1">
      <x:c r="A16" t="str">
        <x:v>External Architecture Reviewer (Copilot)</x:v>
      </x:c>
      <x:c r="B16" t="str">
        <x:v>Onafhanklike ontwerp- en risiko-review</x:v>
      </x:c>
      <x:c r="C16" t="str">
        <x:v>Bevindings is advies; PO/architect besluit en traceer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a9a1fadc3dd46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24" hidden="0" customWidth="1"/>
    <x:col min="4" max="4" width="68" hidden="0" customWidth="1"/>
  </x:cols>
  <x:sheetData>
    <x:row r="1" ht="32" customHeight="1">
      <x:c r="A1" s="3" t="str">
        <x:v>Bronregister</x:v>
      </x:c>
    </x:row>
    <x:row r="2" ht="28" customHeight="1">
      <x:c r="A2" s="7" t="str">
        <x:v>Primere dokumentasie voor sekondere demonstrasies; transport- en hardeware-eise vereis eie meting</x:v>
      </x:c>
    </x:row>
    <x:row r="4" ht="28" customHeight="1">
      <x:c r="A4" s="14" t="str">
        <x:v>Bron</x:v>
      </x:c>
      <x:c r="B4" s="40" t="str">
        <x:v>Gebruik</x:v>
      </x:c>
      <x:c r="C4" s="40" t="str">
        <x:v>Klas</x:v>
      </x:c>
      <x:c r="D4" s="15" t="str">
        <x:v>URL / ligging</x:v>
      </x:c>
    </x:row>
    <x:row r="5" ht="36" customHeight="1">
      <x:c r="A5" s="23" t="str">
        <x:v>CircuitPython usb_midi</x:v>
      </x:c>
      <x:c r="B5" s="23" t="str">
        <x:v>USB endpoints, poorte en names</x:v>
      </x:c>
      <x:c r="C5" s="23" t="str">
        <x:v>Official API</x:v>
      </x:c>
      <x:c r="D5" s="23" t="str">
        <x:v>https://docs.circuitpython.org/en/latest/shared-bindings/usb_midi/</x:v>
      </x:c>
    </x:row>
    <x:row r="6" ht="36" customHeight="1">
      <x:c r="A6" s="24" t="str">
        <x:v>CircuitPython I2SOut</x:v>
      </x:c>
      <x:c r="B6" s="24" t="str">
        <x:v>Digitale audio backend spike</x:v>
      </x:c>
      <x:c r="C6" s="24" t="str">
        <x:v>Official API</x:v>
      </x:c>
      <x:c r="D6" s="24" t="str">
        <x:v>https://docs.circuitpython.org/en/stable/shared-bindings/audiobusio/</x:v>
      </x:c>
    </x:row>
    <x:row r="7" ht="36" customHeight="1">
      <x:c r="A7" s="24" t="str">
        <x:v>CircuitPython synthio</x:v>
      </x:c>
      <x:c r="B7" s="24" t="str">
        <x:v>Envelope, pan en bend spike</x:v>
      </x:c>
      <x:c r="C7" s="24" t="str">
        <x:v>Official experimental API</x:v>
      </x:c>
      <x:c r="D7" s="24" t="str">
        <x:v>https://docs.circuitpython.org/en/latest/shared-bindings/synthio/</x:v>
      </x:c>
    </x:row>
    <x:row r="8" ht="36" customHeight="1">
      <x:c r="A8" s="24" t="str">
        <x:v>Adafruit MIDI</x:v>
      </x:c>
      <x:c r="B8" s="24" t="str">
        <x:v>Note, CC, bend en clock</x:v>
      </x:c>
      <x:c r="C8" s="24" t="str">
        <x:v>Official library</x:v>
      </x:c>
      <x:c r="D8" s="24" t="str">
        <x:v>https://docs.circuitpython.org/projects/midi/en/latest/</x:v>
      </x:c>
    </x:row>
    <x:row r="9" ht="36" customHeight="1">
      <x:c r="A9" s="24" t="str">
        <x:v>Adafruit HTTP Server</x:v>
      </x:c>
      <x:c r="B9" s="24" t="str">
        <x:v>Plaaslike webbeheer</x:v>
      </x:c>
      <x:c r="C9" s="24" t="str">
        <x:v>Official library</x:v>
      </x:c>
      <x:c r="D9" s="24" t="str">
        <x:v>https://docs.circuitpython.org/projects/httpserver/en/stable/</x:v>
      </x:c>
    </x:row>
    <x:row r="10" ht="36" customHeight="1">
      <x:c r="A10" s="24" t="str">
        <x:v>CircuitPython network settings</x:v>
      </x:c>
      <x:c r="B10" s="24" t="str">
        <x:v>Private settings.toml</x:v>
      </x:c>
      <x:c r="C10" s="24" t="str">
        <x:v>Official guide</x:v>
      </x:c>
      <x:c r="D10" s="24" t="str">
        <x:v>https://learn.adafruit.com/networking-in-circuitpython/network-settings</x:v>
      </x:c>
    </x:row>
    <x:row r="11" ht="36" customHeight="1">
      <x:c r="A11" s="24" t="str">
        <x:v>python-d1-synth</x:v>
      </x:c>
      <x:c r="B11" s="24" t="str">
        <x:v>Getoetste gedragskontrakte</x:v>
      </x:c>
      <x:c r="C11" s="24" t="str">
        <x:v>Public predecessor</x:v>
      </x:c>
      <x:c r="D11" s="24" t="str">
        <x:v>https://github.com/pappavis/python-d1-synth</x:v>
      </x:c>
    </x:row>
    <x:row r="12" ht="36" customHeight="1">
      <x:c r="A12" s="24" t="str">
        <x:v>midi-chip-platform</x:v>
      </x:c>
      <x:c r="B12" s="24" t="str">
        <x:v>Argitektuur en domeinbronne</x:v>
      </x:c>
      <x:c r="C12" s="24" t="str">
        <x:v>Public predecessor</x:v>
      </x:c>
      <x:c r="D12" s="24" t="str">
        <x:v>https://github.com/pappavis/midi-chip-platform</x:v>
      </x:c>
    </x:row>
    <x:row r="13" ht="36" customHeight="1">
      <x:c r="A13" s="25" t="str">
        <x:v>CIRCUITPY prototype</x:v>
      </x:c>
      <x:c r="B13" s="25" t="str">
        <x:v>PWM/SN76489 hardware proof</x:v>
      </x:c>
      <x:c r="C13" s="25" t="str">
        <x:v>Private local source</x:v>
      </x:c>
      <x:c r="D13" s="25" t="str">
        <x:v>Private backup; never publish</x:v>
      </x:c>
    </x:row>
    <x:row r="14" ht="28" customHeight="1">
      <x:c r="A14" s="70" t="str">
        <x:v>Adafruit MAX98357 overview</x:v>
      </x:c>
      <x:c r="B14" s="70" t="str">
        <x:v>Mono-I2S, sample rates en mono mix</x:v>
      </x:c>
      <x:c r="C14" s="70" t="str">
        <x:v>Official guide</x:v>
      </x:c>
      <x:c r="D14" s="70" t="str">
        <x:v>https://learn.adafruit.com/adafruit-max98357-i2s-class-d-mono-amp/overview</x:v>
      </x:c>
    </x:row>
    <x:row r="15" ht="28" customHeight="1">
      <x:c r="A15" s="74" t="str">
        <x:v>Adafruit MAX98357 pinouts</x:v>
      </x:c>
      <x:c r="B15" s="74" t="str">
        <x:v>BCLK/LRC/DIN en bridge-tied safety</x:v>
      </x:c>
      <x:c r="C15" s="74" t="str">
        <x:v>Official guide</x:v>
      </x:c>
      <x:c r="D15" s="74" t="str">
        <x:v>https://learn.adafruit.com/adafruit-max98357-i2s-class-d-mono-amp/pinouts</x:v>
      </x:c>
    </x:row>
    <x:row r="16" ht="28" customHeight="1">
      <x:c r="A16" s="70" t="str">
        <x:v>Fishman TriplePlay Support</x:v>
      </x:c>
      <x:c r="B16" s="70" t="str">
        <x:v>Polyphonic MIDI guitar en string bends</x:v>
      </x:c>
      <x:c r="C16" s="70" t="str">
        <x:v>Official support</x:v>
      </x:c>
      <x:c r="D16" s="70" t="str">
        <x:v>https://fishman.com/tripleplay-support/</x:v>
      </x:c>
    </x:row>
    <x:row r="17" ht="28" customHeight="1">
      <x:c r="A17" s="74" t="str">
        <x:v>Fishman TriplePlay Utility Guide</x:v>
      </x:c>
      <x:c r="B17" s="74" t="str">
        <x:v>Trigger/Auto/Smooth/Step slides</x:v>
      </x:c>
      <x:c r="C17" s="74" t="str">
        <x:v>Official manual</x:v>
      </x:c>
      <x:c r="D17" s="74" t="str">
        <x:v>https://a11.fishman.com/wp-content/uploads/2024/12/TriplePlayUtility-UserGuide.pdf</x:v>
      </x:c>
    </x:row>
    <x:row r="18" ht="28" customHeight="1">
      <x:c r="A18" t="str">
        <x:v>CircuitPython supervisor</x:v>
      </x:c>
      <x:c r="B18" t="str">
        <x:v>USB-identiteit en runtime-inspeksie</x:v>
      </x:c>
      <x:c r="C18" t="str">
        <x:v>Official API</x:v>
      </x:c>
      <x:c r="D18" t="str">
        <x:v>https://docs.circuitpython.org/en/latest/shared-bindings/supervisor/</x:v>
      </x:c>
    </x:row>
    <x:row r="19" ht="28" customHeight="1">
      <x:c r="A19" t="str">
        <x:v>CircuitPython USB customization</x:v>
      </x:c>
      <x:c r="B19" t="str">
        <x:v>boot.py endpoint- en herstelgedrag</x:v>
      </x:c>
      <x:c r="C19" t="str">
        <x:v>Official guide</x:v>
      </x:c>
      <x:c r="D19" t="str">
        <x:v>https://learn.adafruit.com/customizing-usb-devices-in-circuitpython</x:v>
      </x:c>
    </x:row>
    <x:row r="20" ht="28" customHeight="1">
      <x:c r="A20" t="str">
        <x:v>DOREMiDi USB MIDI Host</x:v>
      </x:c>
      <x:c r="B20" t="str">
        <x:v>Standalone controller-host-DIN transport</x:v>
      </x:c>
      <x:c r="C20" t="str">
        <x:v>Vendor reference</x:v>
      </x:c>
      <x:c r="D20" t="str">
        <x:v>https://www.doremidi.cn/</x:v>
      </x:c>
    </x:row>
    <x:row r="21" ht="28" customHeight="1">
      <x:c r="A21" t="str">
        <x:v>RaspiMIDIHub</x:v>
      </x:c>
      <x:c r="B21" t="str">
        <x:v>Standalone Raspberry Pi MIDI-host patroon</x:v>
      </x:c>
      <x:c r="C21" t="str">
        <x:v>Public project</x:v>
      </x:c>
      <x:c r="D21" t="str">
        <x:v>https://github.com/rppicomidi/RasPiMIDIHub</x:v>
      </x:c>
    </x:row>
    <x:row r="22" ht="38" customHeight="1">
      <x:c r="A22" s="83" t="str">
        <x:v>CircuitPython _bleio</x:v>
      </x:c>
      <x:c r="B22" s="83" t="str">
        <x:v>Native BLE capability en eksplisiete ESP32-S2-uitsondering</x:v>
      </x:c>
      <x:c r="C22" s="83" t="str">
        <x:v>Official API</x:v>
      </x:c>
      <x:c r="D22" s="83" t="str">
        <x:v>https://docs.circuitpython.org/en/latest/shared-bindings/_bleio/</x:v>
      </x:c>
    </x:row>
    <x:row r="23" ht="38" customHeight="1">
      <x:c r="A23" s="83" t="str">
        <x:v>Adafruit BLE MIDI</x:v>
      </x:c>
      <x:c r="B23" s="83" t="str">
        <x:v>BLE MIDI service en dependencies</x:v>
      </x:c>
      <x:c r="C23" s="83" t="str">
        <x:v>Official library</x:v>
      </x:c>
      <x:c r="D23" s="83" t="str">
        <x:v>https://docs.circuitpython.org/projects/ble_midi/en/latest/</x:v>
      </x:c>
    </x:row>
    <x:row r="24" ht="38" customHeight="1">
      <x:c r="A24" s="83" t="str">
        <x:v>Adafruit BLE MIDI API</x:v>
      </x:c>
      <x:c r="B24" s="83" t="str">
        <x:v>MIDIService as PortIn/PortOut-agtige transport</x:v>
      </x:c>
      <x:c r="C24" s="83" t="str">
        <x:v>Official API</x:v>
      </x:c>
      <x:c r="D24" s="83" t="str">
        <x:v>https://docs.circuitpython.org/projects/ble_midi/en/stable/api.html</x:v>
      </x:c>
    </x:row>
    <x:row r="25" ht="38" customHeight="1">
      <x:c r="A25" s="83" t="str">
        <x:v>Espressif ESP32-S2 datasheet</x:v>
      </x:c>
      <x:c r="B25" s="83" t="str">
        <x:v>S2 Wi-Fi, USB, I2S en geheuevermoens</x:v>
      </x:c>
      <x:c r="C25" s="83" t="str">
        <x:v>Official datasheet</x:v>
      </x:c>
      <x:c r="D25" s="83" t="str">
        <x:v>https://documentation.espressif.com/esp32-s2_datasheet_en.html</x:v>
      </x:c>
    </x:row>
    <x:row r="26" ht="40" customHeight="1">
      <x:c r="A26" s="83" t="str">
        <x:v>CircuitPython wifi</x:v>
      </x:c>
      <x:c r="B26" s="83" t="str">
        <x:v>Station/AP, connect timeout, IP-adresse, AP-auth en DHCP</x:v>
      </x:c>
      <x:c r="C26" s="83" t="str">
        <x:v>Official API</x:v>
      </x:c>
      <x:c r="D26" s="83" t="str">
        <x:v>https://docs.circuitpython.org/en/stable/shared-bindings/wifi/</x:v>
      </x:c>
    </x:row>
    <x:row r="27" ht="40" customHeight="1">
      <x:c r="A27" s="83" t="str">
        <x:v>HTTP server starting methods</x:v>
      </x:c>
      <x:c r="B27" s="83" t="str">
        <x:v>Station- en AP-bedieneropstart</x:v>
      </x:c>
      <x:c r="C27" s="83" t="str">
        <x:v>Official library example</x:v>
      </x:c>
      <x:c r="D27" s="83" t="str">
        <x:v>https://docs.circuitpython.org/projects/httpserver/en/latest/starting_methods.html</x:v>
      </x:c>
    </x:row>
    <x:row r="28" ht="56" customHeight="1">
      <x:c r="A28" t="str">
        <x:v>WEMOS S2 Mini</x:v>
      </x:c>
      <x:c r="B28" t="str">
        <x:v>Verwysingsbord, 3.3 V-logika, 27 I/O, flash en PSRAM</x:v>
      </x:c>
      <x:c r="C28" s="83" t="str">
        <x:v>Official board documentation</x:v>
      </x:c>
      <x:c r="D28" s="83" t="str">
        <x:v>https://docs.wemos.cc/en/latest/s2/s2_mini.html</x:v>
      </x:c>
    </x:row>
    <x:row r="29" ht="56" customHeight="1">
      <x:c r="A29" t="str">
        <x:v>Espressif ESP32-S2 I2S</x:v>
      </x:c>
      <x:c r="B29" t="str">
        <x:v>Een I2S-perifeer en BCLK/WS/DOUT-semantiek</x:v>
      </x:c>
      <x:c r="C29" s="83" t="str">
        <x:v>Official silicon/driver documentation</x:v>
      </x:c>
      <x:c r="D29" s="83" t="str">
        <x:v>https://docs.espressif.com/projects/esp-idf/en/release-v5.2/esp32s2/api-reference/peripherals/i2s.html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ae7da3a3867460a"/>
  </x:tableParts>
</x:worksheet>
</file>